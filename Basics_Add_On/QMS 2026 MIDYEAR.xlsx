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https://d.docs.live.net/c47b858545014144/Documents/JAMEY CODE/SheCodes/SheCodes-Basics-Journey/Basics_Add_On/"/>
    </mc:Choice>
  </mc:AlternateContent>
  <xr:revisionPtr revIDLastSave="6" documentId="8_{7EE8D060-DABB-499B-A79B-C19CE821B21E}" xr6:coauthVersionLast="47" xr6:coauthVersionMax="47" xr10:uidLastSave="{99ABF484-438F-4504-A2B4-8490281DFC61}"/>
  <bookViews>
    <workbookView xWindow="-108" yWindow="-108" windowWidth="23256" windowHeight="12456" firstSheet="1" activeTab="4" xr2:uid="{19BD0347-C7E1-43A3-B26F-B08AF435071C}"/>
  </bookViews>
  <sheets>
    <sheet name="Cover Sheet" sheetId="9" r:id="rId1"/>
    <sheet name="Instructions" sheetId="11" r:id="rId2"/>
    <sheet name="Appraisal Instrument (A1) " sheetId="4" r:id="rId3"/>
    <sheet name="Less Ob Instr (E2)" sheetId="13" r:id="rId4"/>
    <sheet name="Composite Score Sheet (A2)" sheetId="7" r:id="rId5"/>
    <sheet name="Checklist" sheetId="15" r:id="rId6"/>
    <sheet name="LISTS" sheetId="12" state="hidden" r:id="rId7"/>
    <sheet name="TN" sheetId="16"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xlnm._FilterDatabase" localSheetId="7" hidden="1">TN!$C$1:$F$30</definedName>
    <definedName name="GA">[1]Lists!$C$3:INDEX([1]Lists!$C$3:$C$10,COUNTIF([1]Lists!$C$3:$C$10,"?*"))</definedName>
    <definedName name="GeeAye">[1]Lists!$C$12:INDEX([1]Lists!$C$12:$C$18,COUNTIF([1]Lists!$C$12:$C$18,"?*"))</definedName>
    <definedName name="Instructions">[2]Lists!$C$3:INDEX([2]Lists!$C$3:$C$10,COUNTIF([2]Lists!$C$3:$C$10,"?*"))</definedName>
    <definedName name="P1Rating">'[3]QA7 (P1-P4) '!$AK$1:$AL$5</definedName>
    <definedName name="P2Rating">'[3]QA7 (P1-P4) '!$AM$1:$AN$5</definedName>
    <definedName name="P3Rating">'[3]QA7 (P1-P4) '!$AO$1:$AP$5</definedName>
    <definedName name="P4Rating">'[3]QA7 (P1-P4) '!$AQ$1:$AR$5</definedName>
    <definedName name="PLCodeTable">'[3]Staff Data'!$AF$5:$AF$14</definedName>
    <definedName name="_xlnm.Print_Area" localSheetId="2">'Appraisal Instrument (A1) '!$A$1:$E$169</definedName>
    <definedName name="_xlnm.Print_Area" localSheetId="5">Checklist!$B$2:$F$45</definedName>
    <definedName name="_xlnm.Print_Area" localSheetId="4">'Composite Score Sheet (A2)'!$A$2:$F$48</definedName>
    <definedName name="_xlnm.Print_Area" localSheetId="0">'Cover Sheet'!$A$1:$I$44</definedName>
    <definedName name="_xlnm.Print_Area" localSheetId="1">Instructions!$B$2:$D$23</definedName>
    <definedName name="_xlnm.Print_Area" localSheetId="3">'Less Ob Instr (E2)'!$B$2:$G$72</definedName>
    <definedName name="PS2Criterion1" localSheetId="1">[1]Lists!$C$3:INDEX([1]Lists!$C$3:$C$10,COUNTIF([1]Lists!$C$3:$C$10,"?*"))</definedName>
    <definedName name="PS2Criterion1" localSheetId="3">[4]Lists!$C$3:INDEX([4]Lists!$C$3:$C$10,COUNTIF([4]Lists!$C$3:$C$10,"?*"))</definedName>
    <definedName name="PS2Criterion1" localSheetId="7">[5]Lists!$C$3:INDEX([5]Lists!$C$3:$C$10,COUNTIF([5]Lists!$C$3:$C$10,"?*"))</definedName>
    <definedName name="PS2Criterion1">[4]Lists!$C$3:INDEX([4]Lists!$C$3:$C$10,COUNTIF([4]Lists!$C$3:$C$10,"?*"))</definedName>
    <definedName name="PS2Criterion2" localSheetId="1">[1]Lists!$C$12:INDEX([1]Lists!$C$12:$C$18,COUNTIF([1]Lists!$C$12:$C$18,"?*"))</definedName>
    <definedName name="PS2Criterion2" localSheetId="3">[4]Lists!$C$12:INDEX([4]Lists!$C$12:$C$18,COUNTIF([4]Lists!$C$12:$C$18,"?*"))</definedName>
    <definedName name="PS2Criterion2" localSheetId="7">[5]Lists!$C$12:INDEX([5]Lists!$C$12:$C$18,COUNTIF([5]Lists!$C$12:$C$18,"?*"))</definedName>
    <definedName name="PS2Criterion2">[4]Lists!$C$12:INDEX([4]Lists!$C$12:$C$18,COUNTIF([4]Lists!$C$12:$C$18,"?*"))</definedName>
    <definedName name="PS5Criterion1" localSheetId="1">[1]Lists!$C$21:INDEX([1]Lists!$C$21:$C$26,COUNTIF([1]Lists!$C$21:$C$26,"?*"))</definedName>
    <definedName name="PS5Criterion1" localSheetId="3">[4]Lists!$C$21:INDEX([4]Lists!$C$21:$C$26,COUNTIF([4]Lists!$C$21:$C$26,"?*"))</definedName>
    <definedName name="PS5Criterion1" localSheetId="7">[5]Lists!$C$21:INDEX([5]Lists!$C$21:$C$26,COUNTIF([5]Lists!$C$21:$C$26,"?*"))</definedName>
    <definedName name="PS5Criterion1">[4]Lists!$C$21:INDEX([4]Lists!$C$21:$C$26,COUNTIF([4]Lists!$C$21:$C$26,"?*"))</definedName>
    <definedName name="PS5Criterion2" localSheetId="1">[1]Lists!$C$28:INDEX([1]Lists!$C$28:$C$33,COUNTIF([1]Lists!$C$28:$C$33,"?*"))</definedName>
    <definedName name="PS5Criterion2" localSheetId="3">[4]Lists!$C$28:INDEX([4]Lists!$C$28:$C$33,COUNTIF([4]Lists!$C$28:$C$33,"?*"))</definedName>
    <definedName name="PS5Criterion2" localSheetId="7">[5]Lists!$C$28:INDEX([5]Lists!$C$28:$C$33,COUNTIF([5]Lists!$C$28:$C$33,"?*"))</definedName>
    <definedName name="PS5Criterion2">[4]Lists!$C$28:INDEX([4]Lists!$C$28:$C$33,COUNTIF([4]Lists!$C$28:$C$33,"?*"))</definedName>
    <definedName name="PS5Criterion3" localSheetId="1">[1]Lists!$C$35:INDEX([1]Lists!$C$35:$C$39,COUNTIF([1]Lists!$C$35:$C$39,"?*"))</definedName>
    <definedName name="PS5Criterion3" localSheetId="3">[4]Lists!$C$35:INDEX([4]Lists!$C$35:$C$39,COUNTIF([4]Lists!$C$35:$C$39,"?*"))</definedName>
    <definedName name="PS5Criterion3" localSheetId="7">[5]Lists!$C$35:INDEX([5]Lists!$C$35:$C$39,COUNTIF([5]Lists!$C$35:$C$39,"?*"))</definedName>
    <definedName name="PS5Criterion3">[4]Lists!$C$35:INDEX([4]Lists!$C$35:$C$39,COUNTIF([4]Lists!$C$35:$C$39,"?*"))</definedName>
    <definedName name="PS6Criterion1" localSheetId="1">[1]Lists!$C$42:INDEX([1]Lists!$C$42:$C$47,COUNTIF([1]Lists!$C$42:$C$47,"?*"))</definedName>
    <definedName name="PS6Criterion1" localSheetId="3">[4]Lists!$C$42:INDEX([4]Lists!$C$42:$C$47,COUNTIF([4]Lists!$C$42:$C$47,"?*"))</definedName>
    <definedName name="PS6Criterion1" localSheetId="7">[5]Lists!$C$42:INDEX([5]Lists!$C$42:$C$47,COUNTIF([5]Lists!$C$42:$C$47,"?*"))</definedName>
    <definedName name="PS6Criterion1">[4]Lists!$C$42:INDEX([4]Lists!$C$42:$C$47,COUNTIF([4]Lists!$C$42:$C$47,"?*"))</definedName>
    <definedName name="PS7Criterion1" localSheetId="1">[1]Lists!$C$50:INDEX([1]Lists!$C$50:$C$55,COUNTIF([1]Lists!$C$50:$C$55,"?*"))</definedName>
    <definedName name="PS7Criterion1" localSheetId="3">[6]Lists!$C$50:INDEX([6]Lists!$C$50:$C$55,COUNTIF([6]Lists!$C$50:$C$55,"?*"))</definedName>
    <definedName name="PS7Criterion1" localSheetId="7">[7]Lists!$C$50:INDEX([7]Lists!$C$50:$C$55,COUNTIF([7]Lists!$C$50:$C$55,"?*"))</definedName>
    <definedName name="PS7Criterion1">[4]Lists!$C$50:INDEX([4]Lists!$C$50:$C$55,COUNTIF([4]Lists!$C$50:$C$55,"?*"))</definedName>
    <definedName name="rating" localSheetId="3">'[8]Appr. Instr. Principal (D2)'!#REF!</definedName>
    <definedName name="rating" localSheetId="7">'[7]Appraisal Instr. (D2)'!#REF!</definedName>
    <definedName name="rating">'[9]Appraisal Instr. (D2)'!#REF!</definedName>
    <definedName name="RatingTable">'[3]Staff Data'!$W$3:$X$12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16" i="4" l="1"/>
  <c r="F43" i="15"/>
  <c r="D43" i="15"/>
  <c r="D41" i="15"/>
  <c r="F41" i="15"/>
  <c r="F37" i="15"/>
  <c r="D37" i="15"/>
  <c r="F35" i="15"/>
  <c r="D35" i="15"/>
  <c r="C163" i="4" l="1"/>
  <c r="C158" i="4"/>
  <c r="C161" i="4"/>
  <c r="E29" i="7" l="1"/>
  <c r="E37" i="7" s="1"/>
  <c r="C45" i="7" l="1"/>
  <c r="E93" i="4" l="1"/>
  <c r="E92" i="4"/>
  <c r="D93" i="4"/>
  <c r="D92" i="4"/>
  <c r="E88" i="4"/>
  <c r="E87" i="4"/>
  <c r="D88" i="4"/>
  <c r="D87" i="4"/>
  <c r="E82" i="4"/>
  <c r="E83" i="4"/>
  <c r="E81" i="4"/>
  <c r="D82" i="4"/>
  <c r="D83" i="4"/>
  <c r="D81" i="4"/>
  <c r="E71" i="4"/>
  <c r="E70" i="4"/>
  <c r="D71" i="4"/>
  <c r="D70" i="4"/>
  <c r="E66" i="4"/>
  <c r="E65" i="4"/>
  <c r="D66" i="4"/>
  <c r="D65" i="4"/>
  <c r="E58" i="4"/>
  <c r="E59" i="4"/>
  <c r="E60" i="4"/>
  <c r="E61" i="4"/>
  <c r="E57" i="4"/>
  <c r="D58" i="4"/>
  <c r="D59" i="4"/>
  <c r="D60" i="4"/>
  <c r="D61" i="4"/>
  <c r="D57" i="4"/>
  <c r="E52" i="4"/>
  <c r="E53" i="4"/>
  <c r="E51" i="4"/>
  <c r="D52" i="4"/>
  <c r="D53" i="4"/>
  <c r="D51" i="4"/>
  <c r="E39" i="4"/>
  <c r="E40" i="4"/>
  <c r="E41" i="4"/>
  <c r="E38" i="4"/>
  <c r="D39" i="4"/>
  <c r="D40" i="4"/>
  <c r="D41" i="4"/>
  <c r="D38" i="4"/>
  <c r="E33" i="4"/>
  <c r="E34" i="4"/>
  <c r="E32" i="4"/>
  <c r="D33" i="4"/>
  <c r="D34" i="4"/>
  <c r="D32" i="4"/>
  <c r="C167" i="4"/>
  <c r="E163" i="4"/>
  <c r="E161" i="4"/>
  <c r="E154" i="4"/>
  <c r="C154" i="4"/>
  <c r="E152" i="4"/>
  <c r="C152" i="4"/>
  <c r="E8" i="13"/>
  <c r="F7" i="13"/>
  <c r="E7" i="13"/>
  <c r="E6" i="13"/>
  <c r="F5" i="13"/>
  <c r="E5" i="13"/>
  <c r="F44" i="13"/>
  <c r="D44" i="13"/>
  <c r="F57" i="13"/>
  <c r="D57" i="13"/>
  <c r="F25" i="13"/>
  <c r="D25" i="13"/>
  <c r="D58" i="13" l="1"/>
  <c r="F58" i="13"/>
  <c r="E31" i="7" l="1"/>
  <c r="E39" i="7" s="1"/>
  <c r="C31" i="7"/>
  <c r="C39" i="7" s="1"/>
  <c r="C9" i="7"/>
  <c r="C29" i="7" l="1"/>
  <c r="C7" i="7"/>
  <c r="C6" i="7"/>
  <c r="C37" i="7" s="1"/>
  <c r="D127" i="4" l="1"/>
  <c r="D128" i="4" s="1"/>
  <c r="D116" i="4"/>
  <c r="D107" i="4"/>
  <c r="D89" i="4"/>
  <c r="D84" i="4"/>
  <c r="D72" i="4"/>
  <c r="D62" i="4"/>
  <c r="D94" i="4"/>
  <c r="D67" i="4"/>
  <c r="D54" i="4"/>
  <c r="D95" i="4" l="1"/>
  <c r="D117" i="4"/>
  <c r="E15" i="7" s="1"/>
  <c r="D73" i="4"/>
  <c r="E13" i="7" s="1"/>
  <c r="E16" i="7"/>
  <c r="D42" i="4"/>
  <c r="D35" i="4"/>
  <c r="E14" i="7" l="1"/>
  <c r="D43" i="4"/>
  <c r="D129" i="4" s="1"/>
  <c r="C8" i="7"/>
  <c r="D96" i="4" l="1"/>
  <c r="E12" i="7"/>
  <c r="E17" i="7" s="1"/>
  <c r="E35" i="4" l="1"/>
  <c r="E127" i="4" l="1"/>
  <c r="E107" i="4"/>
  <c r="E117" i="4" s="1"/>
  <c r="E94" i="4"/>
  <c r="E89" i="4"/>
  <c r="E84" i="4"/>
  <c r="E72" i="4"/>
  <c r="E67" i="4"/>
  <c r="E62" i="4"/>
  <c r="E54" i="4"/>
  <c r="E73" i="4" l="1"/>
  <c r="E128" i="4"/>
  <c r="F16" i="7" l="1"/>
  <c r="F15" i="7"/>
  <c r="E95" i="4"/>
  <c r="E42" i="4"/>
  <c r="F14" i="7" l="1"/>
  <c r="F13" i="7"/>
  <c r="E43" i="4"/>
  <c r="E129" i="4" s="1"/>
  <c r="E96" i="4" l="1"/>
  <c r="F12" i="7"/>
  <c r="D17" i="7"/>
  <c r="E18" i="7" s="1"/>
  <c r="F17" i="7" l="1"/>
  <c r="F18" i="7"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<sst xmlns="http://schemas.openxmlformats.org/spreadsheetml/2006/main" count="3177" uniqueCount="2830">
  <si>
    <t>Appraisal Instrument (Post Level 1) Educators</t>
  </si>
  <si>
    <t>Introduction</t>
  </si>
  <si>
    <t>The performance appraisal of an educator (Post Level 1) must be conducted twice during the year, using the approved instrument provided in this section.</t>
  </si>
  <si>
    <r>
      <t xml:space="preserve">The two appraisals are conducted as follows: 
</t>
    </r>
    <r>
      <rPr>
        <sz val="10"/>
        <color theme="1"/>
        <rFont val="Calibri"/>
        <family val="2"/>
      </rPr>
      <t xml:space="preserve">○ </t>
    </r>
    <r>
      <rPr>
        <sz val="10"/>
        <color theme="1"/>
        <rFont val="Arial Narrow"/>
        <family val="2"/>
      </rPr>
      <t xml:space="preserve">Mid-year, and
</t>
    </r>
    <r>
      <rPr>
        <sz val="10"/>
        <color theme="1"/>
        <rFont val="Calibri"/>
        <family val="2"/>
      </rPr>
      <t>○</t>
    </r>
    <r>
      <rPr>
        <sz val="10"/>
        <color theme="1"/>
        <rFont val="Arial Narrow"/>
        <family val="2"/>
      </rPr>
      <t xml:space="preserve"> Annual</t>
    </r>
  </si>
  <si>
    <t>The Instrument</t>
  </si>
  <si>
    <r>
      <t xml:space="preserve">The QMS instrument </t>
    </r>
    <r>
      <rPr>
        <b/>
        <sz val="10"/>
        <color theme="1"/>
        <rFont val="Arial Narrow"/>
        <family val="2"/>
      </rPr>
      <t>(Annexure A 1)</t>
    </r>
    <r>
      <rPr>
        <sz val="10"/>
        <color theme="1"/>
        <rFont val="Arial Narrow"/>
        <family val="2"/>
      </rPr>
      <t xml:space="preserve"> must be completed for each educator on post level 1.</t>
    </r>
  </si>
  <si>
    <r>
      <t xml:space="preserve">The instrument should also be used for purposes of </t>
    </r>
    <r>
      <rPr>
        <b/>
        <u/>
        <sz val="10"/>
        <color rgb="FFFF0000"/>
        <rFont val="Arial Narrow"/>
        <family val="2"/>
      </rPr>
      <t>self-appraisal</t>
    </r>
    <r>
      <rPr>
        <sz val="10"/>
        <color theme="1"/>
        <rFont val="Arial Narrow"/>
        <family val="2"/>
      </rPr>
      <t xml:space="preserve">, the mid-year appraisal and final appraisal. </t>
    </r>
  </si>
  <si>
    <t>The instrument consists of 5 Performance Standards</t>
  </si>
  <si>
    <t>The Performance Standards in the instrument form the core elements of the job description for educators.</t>
  </si>
  <si>
    <t>The criteria form the key deliverables for each Performance Standard.</t>
  </si>
  <si>
    <t>The desired outcome/key objective of each criteria has been pegged with a maximum rating of 4.</t>
  </si>
  <si>
    <t>When completing the instrument, the appraiser/supervisor must use the rating guide which provides the elements for the key descriptors for ratings that range from 1 – 4.</t>
  </si>
  <si>
    <t>A rating that is less than the desired outcome will be influenced by the following factors:</t>
  </si>
  <si>
    <r>
      <rPr>
        <sz val="10"/>
        <color theme="1"/>
        <rFont val="Calibri"/>
        <family val="2"/>
      </rPr>
      <t>○</t>
    </r>
    <r>
      <rPr>
        <sz val="10"/>
        <color theme="1"/>
        <rFont val="Arial Narrow"/>
        <family val="2"/>
      </rPr>
      <t>There is no or insufficient evidence of a particular desired activity</t>
    </r>
  </si>
  <si>
    <r>
      <rPr>
        <sz val="10"/>
        <color theme="1"/>
        <rFont val="Calibri"/>
        <family val="2"/>
      </rPr>
      <t>○</t>
    </r>
    <r>
      <rPr>
        <sz val="10"/>
        <color theme="1"/>
        <rFont val="Arial Narrow"/>
        <family val="2"/>
      </rPr>
      <t>The desired activity is infrequent</t>
    </r>
  </si>
  <si>
    <r>
      <rPr>
        <sz val="10"/>
        <color theme="1"/>
        <rFont val="Calibri"/>
        <family val="2"/>
      </rPr>
      <t>○</t>
    </r>
    <r>
      <rPr>
        <sz val="10"/>
        <color theme="1"/>
        <rFont val="Arial Narrow"/>
        <family val="2"/>
      </rPr>
      <t>The desired activity is frequent but of poorer quality than desired;</t>
    </r>
  </si>
  <si>
    <r>
      <rPr>
        <sz val="10"/>
        <color theme="1"/>
        <rFont val="Calibri"/>
        <family val="2"/>
      </rPr>
      <t>○</t>
    </r>
    <r>
      <rPr>
        <sz val="10"/>
        <color theme="1"/>
        <rFont val="Arial Narrow"/>
        <family val="2"/>
      </rPr>
      <t>The desired activity is infrequent and of poor quality; and</t>
    </r>
  </si>
  <si>
    <r>
      <rPr>
        <sz val="10"/>
        <color theme="1"/>
        <rFont val="Calibri"/>
        <family val="2"/>
      </rPr>
      <t>○</t>
    </r>
    <r>
      <rPr>
        <sz val="10"/>
        <color theme="1"/>
        <rFont val="Arial Narrow"/>
        <family val="2"/>
      </rPr>
      <t>The desired activity may be frequent and of reasonable quality but is impacted by a negative attitude</t>
    </r>
  </si>
  <si>
    <t>Performance Standards</t>
  </si>
  <si>
    <r>
      <t xml:space="preserve">Table 1 </t>
    </r>
    <r>
      <rPr>
        <sz val="11"/>
        <rFont val="Arial Narrow"/>
        <family val="2"/>
      </rPr>
      <t>below shows the Performance Standards, the criteria and the desired outcomes for PL 1 educators</t>
    </r>
  </si>
  <si>
    <t>Table 1: Performance Standards and criteria for PL 1 educators</t>
  </si>
  <si>
    <t>Performance Standard</t>
  </si>
  <si>
    <t>Criteria</t>
  </si>
  <si>
    <t>The desired outcome</t>
  </si>
  <si>
    <t>Creation of a positive learning environment</t>
  </si>
  <si>
    <t>Learning and teaching environment</t>
  </si>
  <si>
    <t>The use of learning and teaching environment enables all learners to be productively engaged in individual and cooperative learning.</t>
  </si>
  <si>
    <t>Classroom Management</t>
  </si>
  <si>
    <t>Time and available resources are managed to promote optimal learning and teaching for all learners. Activities are efficiently supervised. Learners work together with the educator towards the achievement of relevant learning outcomes.</t>
  </si>
  <si>
    <t>Curriculum knowledge, lesson planning and presentation</t>
  </si>
  <si>
    <t>Knowledge of subject</t>
  </si>
  <si>
    <t>Uses expert knowledge, in addition to Outcomes and Assessment Standards, to promote learner interest and research in the specific Learning Area/Subject.</t>
  </si>
  <si>
    <t>Planning and presentation</t>
  </si>
  <si>
    <t xml:space="preserve">Effective use of planning instruments leads towards a higher form of learning/ understanding. </t>
  </si>
  <si>
    <t>Management of work schedule</t>
  </si>
  <si>
    <t>Excellent management of content and context within the timeframes stipulated in the Work Schedule accompanied by relevant intervention strategies.</t>
  </si>
  <si>
    <t>Record keeping</t>
  </si>
  <si>
    <t>Records are meticulously maintained and analysed to diagnose learner needs and teaching effectiveness. Records are used to adjust teaching strategies and improve learner achievement</t>
  </si>
  <si>
    <t>Learner assessment and achievement</t>
  </si>
  <si>
    <t>Feedback to learners</t>
  </si>
  <si>
    <t xml:space="preserve">Provides feedback using a variety of strategies. Uses remedial and enrichment measures that instill confidence in learners to achieve intended learning outcomes. </t>
  </si>
  <si>
    <t>Knowledge and application of forms of assessment</t>
  </si>
  <si>
    <t>Knows and uses a range of forms of assessment techniques to continuously maximise learner achievement.  Methods of assessment are used to raise the standards of teaching and learning.</t>
  </si>
  <si>
    <t xml:space="preserve">Learner progress and achievement </t>
  </si>
  <si>
    <t xml:space="preserve">Learners optimally achieve the relevant Learning Area/ Subject outcomes. Assessment results show outstanding levels of competence and achievement. </t>
  </si>
  <si>
    <t>Professional Development</t>
  </si>
  <si>
    <t>Participation in Continuous      professional development</t>
  </si>
  <si>
    <t>Participates fully and takes a leading role in initiating and delivering professional development activities.</t>
  </si>
  <si>
    <t>Educator professionalism</t>
  </si>
  <si>
    <t xml:space="preserve">Educator is exemplary and truly displays the purpose and intent of the educators’ code of professional ethics. </t>
  </si>
  <si>
    <t>Extra-mural and co-curricular participation</t>
  </si>
  <si>
    <t>Participation in extra-mural and co-curricular activities</t>
  </si>
  <si>
    <t>Networks with relevant stakeholders and encourages development of extra-mural or co-curricular activities.</t>
  </si>
  <si>
    <t>4. Rating Scale, Descriptor, scores and percentages:</t>
  </si>
  <si>
    <t>4.1 Post Level 1 Educators</t>
  </si>
  <si>
    <t>A 4 point rating scale is used when completing the instrument.</t>
  </si>
  <si>
    <t>Rating</t>
  </si>
  <si>
    <t>Descriptor</t>
  </si>
  <si>
    <t>Score
(Maximum Score = 152)</t>
  </si>
  <si>
    <t>Percentage</t>
  </si>
  <si>
    <r>
      <rPr>
        <b/>
        <sz val="10"/>
        <color theme="1"/>
        <rFont val="Arial Narrow"/>
        <family val="2"/>
      </rPr>
      <t>Unacceptable:</t>
    </r>
    <r>
      <rPr>
        <sz val="10"/>
        <color theme="1"/>
        <rFont val="Arial Narrow"/>
        <family val="2"/>
      </rPr>
      <t xml:space="preserve"> The level of performance does not meet minimum expectations and requires urgent intervention and support</t>
    </r>
  </si>
  <si>
    <t>0-75</t>
  </si>
  <si>
    <t>0%-49%</t>
  </si>
  <si>
    <r>
      <rPr>
        <b/>
        <sz val="10"/>
        <color theme="1"/>
        <rFont val="Arial Narrow"/>
        <family val="2"/>
      </rPr>
      <t>Acceptable:</t>
    </r>
    <r>
      <rPr>
        <sz val="10"/>
        <color theme="1"/>
        <rFont val="Arial Narrow"/>
        <family val="2"/>
      </rPr>
      <t xml:space="preserve"> Satisfies minimum expectations. The level of performance is acceptable and is in line with the minimum expectations, but development and support are still required</t>
    </r>
  </si>
  <si>
    <t>76-105</t>
  </si>
  <si>
    <t>50%-69%</t>
  </si>
  <si>
    <r>
      <rPr>
        <b/>
        <sz val="10"/>
        <color theme="1"/>
        <rFont val="Arial Narrow"/>
        <family val="2"/>
      </rPr>
      <t>Good:</t>
    </r>
    <r>
      <rPr>
        <sz val="10"/>
        <color theme="1"/>
        <rFont val="Arial Narrow"/>
        <family val="2"/>
      </rPr>
      <t xml:space="preserve"> Performance meets expectations, but some areas are still in need of development and support</t>
    </r>
  </si>
  <si>
    <t>106-128</t>
  </si>
  <si>
    <t>70%-84%</t>
  </si>
  <si>
    <r>
      <rPr>
        <b/>
        <sz val="10"/>
        <color theme="1"/>
        <rFont val="Arial Narrow"/>
        <family val="2"/>
      </rPr>
      <t>Outstanding:</t>
    </r>
    <r>
      <rPr>
        <sz val="10"/>
        <color theme="1"/>
        <rFont val="Arial Narrow"/>
        <family val="2"/>
      </rPr>
      <t xml:space="preserve"> Performance exceeds expectations. Although performance is outstanding, continuous self-development and improvement are advised. </t>
    </r>
  </si>
  <si>
    <t>129-152</t>
  </si>
  <si>
    <t>85%-100%</t>
  </si>
  <si>
    <t>Guide for the completion of templates for Educators (PL1)</t>
  </si>
  <si>
    <t>Step 1: Start with TAB "Appraisal Instrument (A1)"</t>
  </si>
  <si>
    <t>This information will populate the:</t>
  </si>
  <si>
    <t>A</t>
  </si>
  <si>
    <t>Fill in "Section A: EDUCATOR AND SCHOOL INFORMATION"</t>
  </si>
  <si>
    <t>1.</t>
  </si>
  <si>
    <t>APPRAISEE</t>
  </si>
  <si>
    <r>
      <t>·</t>
    </r>
    <r>
      <rPr>
        <sz val="7"/>
        <color theme="1"/>
        <rFont val="Times New Roman"/>
        <family val="1"/>
      </rPr>
      <t xml:space="preserve">       </t>
    </r>
    <r>
      <rPr>
        <sz val="12"/>
        <color theme="1"/>
        <rFont val="Arial"/>
        <family val="2"/>
      </rPr>
      <t>Composite Score Sheet (A2)</t>
    </r>
  </si>
  <si>
    <t>2.</t>
  </si>
  <si>
    <t>APPRAISER</t>
  </si>
  <si>
    <r>
      <t>·</t>
    </r>
    <r>
      <rPr>
        <sz val="7"/>
        <color theme="1"/>
        <rFont val="Times New Roman"/>
        <family val="1"/>
      </rPr>
      <t xml:space="preserve">       </t>
    </r>
    <r>
      <rPr>
        <sz val="12"/>
        <color theme="1"/>
        <rFont val="Arial"/>
        <family val="2"/>
      </rPr>
      <t>Lesson Observation Instrument (LOI) (E2)</t>
    </r>
  </si>
  <si>
    <t>3.</t>
  </si>
  <si>
    <t>SCHOOL</t>
  </si>
  <si>
    <r>
      <t>·</t>
    </r>
    <r>
      <rPr>
        <sz val="7"/>
        <color rgb="FFFF0000"/>
        <rFont val="Times New Roman"/>
        <family val="1"/>
      </rPr>
      <t xml:space="preserve">       </t>
    </r>
    <r>
      <rPr>
        <sz val="12"/>
        <color rgb="FFFF0000"/>
        <rFont val="Arial"/>
        <family val="2"/>
      </rPr>
      <t>Checklist</t>
    </r>
  </si>
  <si>
    <t>4.</t>
  </si>
  <si>
    <t>EDUCATOR’S BRIEF JOB DESCRIPTION  (Subjects/Grades/Key areas of responsibility, etc)</t>
  </si>
  <si>
    <t>Step 2: Self-appraisal by the educator</t>
  </si>
  <si>
    <r>
      <t xml:space="preserve">The educator must conduct a self-appraisal </t>
    </r>
    <r>
      <rPr>
        <b/>
        <sz val="12"/>
        <rFont val="Arial"/>
        <family val="2"/>
      </rPr>
      <t>prior</t>
    </r>
    <r>
      <rPr>
        <sz val="12"/>
        <rFont val="Arial"/>
        <family val="2"/>
      </rPr>
      <t xml:space="preserve"> to the appraisal by his/her supervisor.                            A printed copy must be kept on record.</t>
    </r>
  </si>
  <si>
    <t>Step 3: Complete the "Lesson Observation Instrument (E2)"</t>
  </si>
  <si>
    <r>
      <t xml:space="preserve">These scores will populate </t>
    </r>
    <r>
      <rPr>
        <b/>
        <sz val="12"/>
        <color rgb="FF000000"/>
        <rFont val="Arial"/>
        <family val="2"/>
      </rPr>
      <t>Performance Standards 1, 2 &amp; 3</t>
    </r>
    <r>
      <rPr>
        <sz val="12"/>
        <color rgb="FF000000"/>
        <rFont val="Arial"/>
        <family val="2"/>
      </rPr>
      <t xml:space="preserve"> on the </t>
    </r>
    <r>
      <rPr>
        <b/>
        <sz val="12"/>
        <color rgb="FF000000"/>
        <rFont val="Arial"/>
        <family val="2"/>
      </rPr>
      <t>Appraisal Instrument (A1)</t>
    </r>
    <r>
      <rPr>
        <sz val="12"/>
        <color rgb="FF000000"/>
        <rFont val="Arial"/>
        <family val="2"/>
      </rPr>
      <t>.</t>
    </r>
  </si>
  <si>
    <t>Step 4: Complete Performance Standards 4 and 5 on the "Appraisal Instrument (A1)"</t>
  </si>
  <si>
    <r>
      <t>These scores will populate the '</t>
    </r>
    <r>
      <rPr>
        <b/>
        <sz val="12"/>
        <rFont val="Arial"/>
        <family val="2"/>
      </rPr>
      <t>Composite Score Sheet (A2)</t>
    </r>
    <r>
      <rPr>
        <sz val="12"/>
        <rFont val="Arial"/>
        <family val="2"/>
      </rPr>
      <t>'.</t>
    </r>
  </si>
  <si>
    <t>Step 5: Complete the "Composite Score Sheet (A2)"</t>
  </si>
  <si>
    <t>Select two development needs and select whether you agree or disagree with the overall performance rating.</t>
  </si>
  <si>
    <t>Step 6: Complete the "Checklist" to ensure full compliance</t>
  </si>
  <si>
    <r>
      <rPr>
        <b/>
        <sz val="12"/>
        <rFont val="Arial"/>
        <family val="2"/>
      </rPr>
      <t>Step 7: Naming your file: please save your file as follows:</t>
    </r>
    <r>
      <rPr>
        <b/>
        <sz val="12"/>
        <color rgb="FF1D18EE"/>
        <rFont val="Arial"/>
        <family val="2"/>
      </rPr>
      <t xml:space="preserve"> </t>
    </r>
    <r>
      <rPr>
        <b/>
        <sz val="12"/>
        <color rgb="FFC00000"/>
        <rFont val="Arial"/>
        <family val="2"/>
      </rPr>
      <t>SURNAME_INITIAL_PERSAL_PL1_2026</t>
    </r>
    <r>
      <rPr>
        <b/>
        <sz val="12"/>
        <color rgb="FF1D18EE"/>
        <rFont val="Arial"/>
        <family val="2"/>
      </rPr>
      <t xml:space="preserve"> </t>
    </r>
    <r>
      <rPr>
        <b/>
        <sz val="12"/>
        <rFont val="Arial"/>
        <family val="2"/>
      </rPr>
      <t>(e.g.</t>
    </r>
    <r>
      <rPr>
        <b/>
        <sz val="12"/>
        <color rgb="FF1D18EE"/>
        <rFont val="Arial"/>
        <family val="2"/>
      </rPr>
      <t xml:space="preserve"> </t>
    </r>
    <r>
      <rPr>
        <b/>
        <sz val="12"/>
        <color rgb="FFC00000"/>
        <rFont val="Arial"/>
        <family val="2"/>
      </rPr>
      <t>DU TOIT_AB_5135635_PL1_2026</t>
    </r>
    <r>
      <rPr>
        <b/>
        <sz val="12"/>
        <rFont val="Arial"/>
        <family val="2"/>
      </rPr>
      <t>)</t>
    </r>
  </si>
  <si>
    <r>
      <rPr>
        <b/>
        <sz val="14"/>
        <rFont val="Arial"/>
        <family val="2"/>
      </rPr>
      <t>Annexure</t>
    </r>
    <r>
      <rPr>
        <b/>
        <sz val="14"/>
        <color rgb="FF0070C0"/>
        <rFont val="Arial"/>
        <family val="2"/>
      </rPr>
      <t xml:space="preserve"> </t>
    </r>
    <r>
      <rPr>
        <b/>
        <sz val="14"/>
        <rFont val="Arial"/>
        <family val="2"/>
      </rPr>
      <t>A1</t>
    </r>
  </si>
  <si>
    <t xml:space="preserve">QUALITY MANAGEMENT SYSTEM (QMS)
</t>
  </si>
  <si>
    <t>SELF-APPRAISAL INSTRUMENT</t>
  </si>
  <si>
    <t>EDUCATOR: POST LEVEL 1</t>
  </si>
  <si>
    <t>Section A: EDUCATOR AND SCHOOL INFORMATION</t>
  </si>
  <si>
    <t>1. APPRAISEE</t>
  </si>
  <si>
    <t>Surname</t>
  </si>
  <si>
    <t xml:space="preserve">First names </t>
  </si>
  <si>
    <t>Designation</t>
  </si>
  <si>
    <t>Persal number</t>
  </si>
  <si>
    <t>Highest Qualification</t>
  </si>
  <si>
    <t>Specialization in subject domain</t>
  </si>
  <si>
    <t>Grade / Subjects taught during current appraisal year</t>
  </si>
  <si>
    <t>2. APPRAISER</t>
  </si>
  <si>
    <t>3. SCHOOL</t>
  </si>
  <si>
    <t>Name of school</t>
  </si>
  <si>
    <t>Province</t>
  </si>
  <si>
    <t>Western Cape</t>
  </si>
  <si>
    <t>District</t>
  </si>
  <si>
    <t>Principal’s name</t>
  </si>
  <si>
    <t>School telephone</t>
  </si>
  <si>
    <t>Cell No</t>
  </si>
  <si>
    <t>4. EDUCATOR’S BRIEF JOB DESCRIPTION  (Subjects/Grades/Key areas of responsibility, etc)</t>
  </si>
  <si>
    <t>Teaching and assessment responsibilities</t>
  </si>
  <si>
    <t>Extra-mural activities</t>
  </si>
  <si>
    <t>Administrative duties</t>
  </si>
  <si>
    <t>Other: (Please specify)</t>
  </si>
  <si>
    <t>SECTION B: APPRAISAL</t>
  </si>
  <si>
    <t>Educator to be rated by selecting or entering a value between 1-4  for each descriptor</t>
  </si>
  <si>
    <t>PERFORMANCE STANDARD 1: CREATION OF A POSITIVE LEARNING AND TEACHER ENVIRONMENT</t>
  </si>
  <si>
    <t>Criterion 1: Learning and teaching environment</t>
  </si>
  <si>
    <t>Mid-Year</t>
  </si>
  <si>
    <t>Annual</t>
  </si>
  <si>
    <t>a.</t>
  </si>
  <si>
    <t>Seating arrangement promotes effective teaching and learning</t>
  </si>
  <si>
    <t>b.</t>
  </si>
  <si>
    <t>Classroom is tidy and clean</t>
  </si>
  <si>
    <t xml:space="preserve">c. </t>
  </si>
  <si>
    <t>Teaching and learning support material (e.g. charts) are displayed and used in the classroom.</t>
  </si>
  <si>
    <t>Sub-total</t>
  </si>
  <si>
    <t>Criterion 2: Classroom Management</t>
  </si>
  <si>
    <t>Is punctual and organized in class</t>
  </si>
  <si>
    <t>Ensures that learners are punctual and settle down quickly</t>
  </si>
  <si>
    <t>Communication between educator and learners reflects mutual respect, cooperation and understanding</t>
  </si>
  <si>
    <t xml:space="preserve">d. </t>
  </si>
  <si>
    <t>Manages discipline effectively</t>
  </si>
  <si>
    <t>Total for Performance Standard 1</t>
  </si>
  <si>
    <r>
      <t>Comments (</t>
    </r>
    <r>
      <rPr>
        <b/>
        <sz val="10"/>
        <color rgb="FFFF0000"/>
        <rFont val="Arial"/>
        <family val="2"/>
      </rPr>
      <t>compulsory</t>
    </r>
    <r>
      <rPr>
        <b/>
        <sz val="10"/>
        <color theme="1"/>
        <rFont val="Arial"/>
        <family val="2"/>
      </rPr>
      <t>)</t>
    </r>
  </si>
  <si>
    <t>PERFORMANCE STANDARD 2: CURRICULUM KNOWLEDGE, LESSON PLANNING AND PRESENTATION</t>
  </si>
  <si>
    <t>Criterion 1: Knowledge of subject</t>
  </si>
  <si>
    <t xml:space="preserve">Has adequate subject knowledge and uses it effectively </t>
  </si>
  <si>
    <t>Sets appropriate tasks for learners at the level of the grade</t>
  </si>
  <si>
    <t>Uses a variety of examples, LTSM and other teaching resources to facilitate learning</t>
  </si>
  <si>
    <t>Criterion 2: Planning and presentation</t>
  </si>
  <si>
    <t>Lesson is logical, coherent and meaningful to learners</t>
  </si>
  <si>
    <t>Lesson is built on past knowledge and experience of learners</t>
  </si>
  <si>
    <t>Time is well-managed during lesson presentation</t>
  </si>
  <si>
    <t>d.</t>
  </si>
  <si>
    <t>Encourages interactive learning including class discussions, learner questions and demonstrations</t>
  </si>
  <si>
    <t>e.</t>
  </si>
  <si>
    <t>Responds appropriately to learner questions and inputs</t>
  </si>
  <si>
    <t>Criterion 3: Management of work schedule</t>
  </si>
  <si>
    <t>Pace of the work is in line with time frames stipulated in the work schedule</t>
  </si>
  <si>
    <t>Number of tasks and activities are in line with CAPS</t>
  </si>
  <si>
    <t>Criterion 4: Recordkeeping</t>
  </si>
  <si>
    <t>File/files neatly kept, organized and updated regularly</t>
  </si>
  <si>
    <t>Records of learner assessments are neatly kept, organized and updated regularly</t>
  </si>
  <si>
    <t>Total for Performance Standard 2</t>
  </si>
  <si>
    <t>PERFORMANCE STANDARD 3: LEARNER ASSESSMENT AND ACHIEVEMENT</t>
  </si>
  <si>
    <t>Criterion 1: Feedback to learners</t>
  </si>
  <si>
    <t>Assessment tasks are marked and returned to learners timeously</t>
  </si>
  <si>
    <t>Feedback is meaningful and regular</t>
  </si>
  <si>
    <t>Feedback is incorporated in future lesson planning</t>
  </si>
  <si>
    <t>Criterion 2: Knowledge and application of forms of assessment</t>
  </si>
  <si>
    <t>Uses different forms of assessment in line with CAPS to test learner performance</t>
  </si>
  <si>
    <t>Intervention strategies accommodates learners with various learning abilities</t>
  </si>
  <si>
    <t>Criterion 3: Learner progress and  achievement</t>
  </si>
  <si>
    <t>Learner results of various forms of assessment show that they are attaining the set outcomes</t>
  </si>
  <si>
    <t>Remedial/Enrichment work supports learner progress</t>
  </si>
  <si>
    <t>Total for Performance Standard 3</t>
  </si>
  <si>
    <t>Lesson Observation Total</t>
  </si>
  <si>
    <t>PERFORMANCE STANDARD 4: PROFESSIONAL DEVELOPMENT</t>
  </si>
  <si>
    <t>Criterion 1: Participation in continuous professional development</t>
  </si>
  <si>
    <t>Engages in on-going self reflection and has set clear targets for development</t>
  </si>
  <si>
    <t>Attends and participates in activities aimed at enhancing his/her professional and pedagogical skills</t>
  </si>
  <si>
    <t>Engages in research, develops educational materials, participates in sessions to train, guide, mentor and develop colleagues.</t>
  </si>
  <si>
    <t>Criterion 2: Educator professionalism</t>
  </si>
  <si>
    <t>Comes to school regularly and on time</t>
  </si>
  <si>
    <t>Is always neatly dressed and presentable</t>
  </si>
  <si>
    <t>Conducts lessons as expected in line with the school time-table.</t>
  </si>
  <si>
    <t>Adheres to deadline e.g. marking, learner report cards, schedules, completion of tasks, etc.</t>
  </si>
  <si>
    <t>Contributes positively towards school development and advancement</t>
  </si>
  <si>
    <t>f.</t>
  </si>
  <si>
    <t>Maintains good relations with stakeholders</t>
  </si>
  <si>
    <t>Total for Performance Standard 4</t>
  </si>
  <si>
    <t>PERFORMANCE STANDARD 5: EXTRA-MURAL AND CO-CURRICULAR PARTICIPATION</t>
  </si>
  <si>
    <t>Criterion 1: Participation in extra-mural and co-curricular activities</t>
  </si>
  <si>
    <t>Keeps updated inventory/register equipment under his/her care</t>
  </si>
  <si>
    <t>Manages and takes good care of equipment and facilities</t>
  </si>
  <si>
    <t>Is involved in extra-mural and co-curricular activities</t>
  </si>
  <si>
    <t>Total for Performance Standard 5</t>
  </si>
  <si>
    <t>Grand Total for Performance Standards: 1-5</t>
  </si>
  <si>
    <r>
      <t>5. Overall Remarks (</t>
    </r>
    <r>
      <rPr>
        <b/>
        <sz val="11"/>
        <color rgb="FFFF0000"/>
        <rFont val="Arial"/>
        <family val="2"/>
      </rPr>
      <t>compulsory</t>
    </r>
    <r>
      <rPr>
        <b/>
        <sz val="11"/>
        <color theme="1"/>
        <rFont val="Arial"/>
        <family val="2"/>
      </rPr>
      <t>)</t>
    </r>
  </si>
  <si>
    <t>5.1 Educator's comment on the appraisal</t>
  </si>
  <si>
    <t>5.2 Appraiser’s comments</t>
  </si>
  <si>
    <r>
      <t xml:space="preserve">5.3 Resource person's comments </t>
    </r>
    <r>
      <rPr>
        <b/>
        <i/>
        <sz val="11"/>
        <color theme="1"/>
        <rFont val="Arial"/>
        <family val="2"/>
      </rPr>
      <t>(optional)</t>
    </r>
  </si>
  <si>
    <t>5.4 Principal's comments</t>
  </si>
  <si>
    <t>6. Recommendations</t>
  </si>
  <si>
    <t>7. Signatures</t>
  </si>
  <si>
    <t>Name of appraisee</t>
  </si>
  <si>
    <t>Signature &amp; Date</t>
  </si>
  <si>
    <t>Name of appraiser</t>
  </si>
  <si>
    <t>Name of Resource Person (optional)</t>
  </si>
  <si>
    <t>Name of Principal</t>
  </si>
  <si>
    <t>School Stamp</t>
  </si>
  <si>
    <t>Annexure E 2</t>
  </si>
  <si>
    <t>Lesson Observation Instrument (LOI)</t>
  </si>
  <si>
    <t>Post Level 1: Teacher</t>
  </si>
  <si>
    <t>Appraisee Surname &amp; Name:</t>
  </si>
  <si>
    <t>PERSAL</t>
  </si>
  <si>
    <t>Appraiser Surname and Name</t>
  </si>
  <si>
    <t>Grade:</t>
  </si>
  <si>
    <t>Subject / Learning Area:</t>
  </si>
  <si>
    <t>Lesson Topic:</t>
  </si>
  <si>
    <t>PERFORMANCE STANDARD 1</t>
  </si>
  <si>
    <t>CREATION OF A POSITIVE LEARNING AND TEACHING ENVIRONMENT</t>
  </si>
  <si>
    <t>Mid-Year Rating</t>
  </si>
  <si>
    <r>
      <t xml:space="preserve">Mid-Year Remarks </t>
    </r>
    <r>
      <rPr>
        <b/>
        <sz val="11"/>
        <color rgb="FFFF0000"/>
        <rFont val="Arial"/>
        <family val="2"/>
      </rPr>
      <t>(compulsory)</t>
    </r>
  </si>
  <si>
    <t>Annual Rating</t>
  </si>
  <si>
    <r>
      <t xml:space="preserve">Annual Remarks </t>
    </r>
    <r>
      <rPr>
        <b/>
        <sz val="11"/>
        <color rgb="FFFF0000"/>
        <rFont val="Arial"/>
        <family val="2"/>
      </rPr>
      <t>(compulsory)</t>
    </r>
  </si>
  <si>
    <t>a</t>
  </si>
  <si>
    <t>b</t>
  </si>
  <si>
    <t>c</t>
  </si>
  <si>
    <t>d</t>
  </si>
  <si>
    <t>Mid-Year Subtotal</t>
  </si>
  <si>
    <t>Annual Subtotal</t>
  </si>
  <si>
    <t>PERFORMANCE STANDARD 2</t>
  </si>
  <si>
    <t>CURRICULUM KNOWLEDGE, LESSON PLANNING AND PRESENTATION</t>
  </si>
  <si>
    <t>Has adequate subject knowledge and uses it effectively</t>
  </si>
  <si>
    <t>Sets appropriate tasks for learners at the level of the Grade</t>
  </si>
  <si>
    <t xml:space="preserve">Criterion 2: Planning and presentation </t>
  </si>
  <si>
    <t>e</t>
  </si>
  <si>
    <t>Number of tasks and activities are in line with NCS/CAPS</t>
  </si>
  <si>
    <t>PERFORMANCE STANDARD 3</t>
  </si>
  <si>
    <t>LEARNER ASSESSMENT AND ACHIEVEMENT</t>
  </si>
  <si>
    <t xml:space="preserve">Criterion 1: Feedback to learners </t>
  </si>
  <si>
    <t xml:space="preserve">Feedback is meaningful and regular </t>
  </si>
  <si>
    <t>Uses different forms of assessment to test learner performance</t>
  </si>
  <si>
    <t>Criterion 3: Learner progress and achievement</t>
  </si>
  <si>
    <t xml:space="preserve">Learner results of various forms of assessment show that they are attaining the set outcomes </t>
  </si>
  <si>
    <t>Remedial / Enrichment work supports learner progress</t>
  </si>
  <si>
    <t>Mid-Year Total</t>
  </si>
  <si>
    <t>Annual Total</t>
  </si>
  <si>
    <r>
      <t>Overall Remarks: Strengths/ Areas for development (</t>
    </r>
    <r>
      <rPr>
        <b/>
        <sz val="12"/>
        <color rgb="FFFF0000"/>
        <rFont val="Arial"/>
        <family val="2"/>
      </rPr>
      <t>compulsory</t>
    </r>
    <r>
      <rPr>
        <b/>
        <sz val="12"/>
        <color theme="1"/>
        <rFont val="Arial"/>
        <family val="2"/>
      </rPr>
      <t>)</t>
    </r>
  </si>
  <si>
    <t>Educator</t>
  </si>
  <si>
    <t>Supervisor</t>
  </si>
  <si>
    <t>Resource person (optional)</t>
  </si>
  <si>
    <t>Remark:</t>
  </si>
  <si>
    <t>Signature:</t>
  </si>
  <si>
    <t>Date:</t>
  </si>
  <si>
    <t>QUALITY MANAGEMENT SYSTEM (QMS)
COMPOSITE SCORE SHEET: PL 1 Educator</t>
  </si>
  <si>
    <t>Annexure A2</t>
  </si>
  <si>
    <t>(To be submitted to the District Office by the end of the 4th Quarter)</t>
  </si>
  <si>
    <t>Mid-Year Date</t>
  </si>
  <si>
    <t>Annual Date</t>
  </si>
  <si>
    <t>First Name</t>
  </si>
  <si>
    <t>Persal Number</t>
  </si>
  <si>
    <t>School Name</t>
  </si>
  <si>
    <t xml:space="preserve">NO. </t>
  </si>
  <si>
    <t>PERFORMANCE STANDARD</t>
  </si>
  <si>
    <t>MAXIMUM SCORE</t>
  </si>
  <si>
    <t>MID-YEAR</t>
  </si>
  <si>
    <t>ANNUAL</t>
  </si>
  <si>
    <t>Creation of positive learning and teaching environment</t>
  </si>
  <si>
    <t>Professional development</t>
  </si>
  <si>
    <t>FINAL SCORE</t>
  </si>
  <si>
    <t>PERCENTAGE (Educator Score ÷ 152) x 100  =</t>
  </si>
  <si>
    <r>
      <t>Comments : Strengths and areas for development (</t>
    </r>
    <r>
      <rPr>
        <b/>
        <sz val="11"/>
        <color rgb="FFFF0000"/>
        <rFont val="Arial"/>
        <family val="2"/>
      </rPr>
      <t>compulsory</t>
    </r>
    <r>
      <rPr>
        <b/>
        <sz val="11"/>
        <color theme="1"/>
        <rFont val="Arial"/>
        <family val="2"/>
      </rPr>
      <t>)</t>
    </r>
  </si>
  <si>
    <r>
      <t>Identified development needs (</t>
    </r>
    <r>
      <rPr>
        <b/>
        <sz val="11"/>
        <color rgb="FFFF0000"/>
        <rFont val="Arial"/>
        <family val="2"/>
      </rPr>
      <t>compulsory</t>
    </r>
    <r>
      <rPr>
        <b/>
        <sz val="11"/>
        <color theme="1"/>
        <rFont val="Arial"/>
        <family val="2"/>
      </rPr>
      <t>)</t>
    </r>
  </si>
  <si>
    <t>Choice 1</t>
  </si>
  <si>
    <t>Choice 2</t>
  </si>
  <si>
    <t>Coding and robotics</t>
  </si>
  <si>
    <t>Understanding research-based teaching techniques</t>
  </si>
  <si>
    <t>Select a statement</t>
  </si>
  <si>
    <t>MID-YEAR APPRAISAL SIGNATURES:</t>
  </si>
  <si>
    <t>Name of Appraisee</t>
  </si>
  <si>
    <t>Signature &amp; Date:</t>
  </si>
  <si>
    <t>Name of Appraiser</t>
  </si>
  <si>
    <r>
      <t>Name of Resource Person</t>
    </r>
    <r>
      <rPr>
        <i/>
        <sz val="11"/>
        <color theme="1"/>
        <rFont val="Arial"/>
        <family val="2"/>
      </rPr>
      <t xml:space="preserve"> (Optional):</t>
    </r>
  </si>
  <si>
    <r>
      <t>Signature &amp; Date:</t>
    </r>
    <r>
      <rPr>
        <i/>
        <sz val="11"/>
        <color theme="1"/>
        <rFont val="Arial"/>
        <family val="2"/>
      </rPr>
      <t xml:space="preserve"> (Optional)</t>
    </r>
  </si>
  <si>
    <t>ANNUAL APPRAISAL SIGNATURES:</t>
  </si>
  <si>
    <t>VALIDATED BY :</t>
  </si>
  <si>
    <t xml:space="preserve">Principal </t>
  </si>
  <si>
    <t>Western Cape Education Department</t>
  </si>
  <si>
    <t>Quality Management System (QMS) Checklist for Teachers (PL1)</t>
  </si>
  <si>
    <t xml:space="preserve">   Please ensure that this checklist is completed to ensure full compliance:</t>
  </si>
  <si>
    <t xml:space="preserve">   General Requirements</t>
  </si>
  <si>
    <r>
      <t xml:space="preserve">Select </t>
    </r>
    <r>
      <rPr>
        <b/>
        <sz val="12"/>
        <color rgb="FF00B050"/>
        <rFont val="Arial"/>
        <family val="2"/>
      </rPr>
      <t>YES</t>
    </r>
    <r>
      <rPr>
        <b/>
        <sz val="12"/>
        <color rgb="FF002060"/>
        <rFont val="Arial"/>
        <family val="2"/>
      </rPr>
      <t>/</t>
    </r>
    <r>
      <rPr>
        <b/>
        <sz val="12"/>
        <color rgb="FFC00000"/>
        <rFont val="Arial"/>
        <family val="2"/>
      </rPr>
      <t>NO</t>
    </r>
  </si>
  <si>
    <r>
      <t xml:space="preserve">I have a </t>
    </r>
    <r>
      <rPr>
        <b/>
        <sz val="11"/>
        <color rgb="FF002060"/>
        <rFont val="Arial"/>
        <family val="2"/>
      </rPr>
      <t>signed WCED Job Description (JD)</t>
    </r>
    <r>
      <rPr>
        <sz val="11"/>
        <color rgb="FF002060"/>
        <rFont val="Arial"/>
        <family val="2"/>
      </rPr>
      <t xml:space="preserve"> on file.</t>
    </r>
  </si>
  <si>
    <t>NO</t>
  </si>
  <si>
    <r>
      <t xml:space="preserve">I have </t>
    </r>
    <r>
      <rPr>
        <b/>
        <sz val="11"/>
        <color rgb="FF002060"/>
        <rFont val="Arial"/>
        <family val="2"/>
      </rPr>
      <t>read and understood the Appraisal Instrument</t>
    </r>
    <r>
      <rPr>
        <sz val="11"/>
        <color rgb="FF002060"/>
        <rFont val="Arial"/>
        <family val="2"/>
      </rPr>
      <t xml:space="preserve">, including the </t>
    </r>
    <r>
      <rPr>
        <b/>
        <sz val="11"/>
        <color rgb="FF002060"/>
        <rFont val="Arial"/>
        <family val="2"/>
      </rPr>
      <t xml:space="preserve">Performance Standards (PS) </t>
    </r>
    <r>
      <rPr>
        <sz val="11"/>
        <color rgb="FF002060"/>
        <rFont val="Arial"/>
        <family val="2"/>
      </rPr>
      <t xml:space="preserve">and the </t>
    </r>
    <r>
      <rPr>
        <b/>
        <sz val="11"/>
        <color rgb="FF002060"/>
        <rFont val="Arial"/>
        <family val="2"/>
      </rPr>
      <t>expected outcomes</t>
    </r>
    <r>
      <rPr>
        <sz val="11"/>
        <color rgb="FF002060"/>
        <rFont val="Arial"/>
        <family val="2"/>
      </rPr>
      <t>.</t>
    </r>
  </si>
  <si>
    <r>
      <t xml:space="preserve">I have selected my </t>
    </r>
    <r>
      <rPr>
        <b/>
        <sz val="11"/>
        <color rgb="FF002060"/>
        <rFont val="Arial"/>
        <family val="2"/>
      </rPr>
      <t xml:space="preserve">two developmental needs </t>
    </r>
    <r>
      <rPr>
        <sz val="11"/>
        <color rgb="FF002060"/>
        <rFont val="Arial"/>
        <family val="2"/>
      </rPr>
      <t>(in collaboration with my supervisor) which will be incorporated into the Staff Development Plan (</t>
    </r>
    <r>
      <rPr>
        <b/>
        <sz val="11"/>
        <color rgb="FF002060"/>
        <rFont val="Arial"/>
        <family val="2"/>
      </rPr>
      <t>SDP</t>
    </r>
    <r>
      <rPr>
        <sz val="11"/>
        <color rgb="FF002060"/>
        <rFont val="Arial"/>
        <family val="2"/>
      </rPr>
      <t xml:space="preserve">) and captured on the school's </t>
    </r>
    <r>
      <rPr>
        <b/>
        <sz val="11"/>
        <color rgb="FF002060"/>
        <rFont val="Arial"/>
        <family val="2"/>
      </rPr>
      <t>Annexure E1</t>
    </r>
    <r>
      <rPr>
        <sz val="11"/>
        <color rgb="FF002060"/>
        <rFont val="Arial"/>
        <family val="2"/>
      </rPr>
      <t>.</t>
    </r>
  </si>
  <si>
    <r>
      <t xml:space="preserve">I have </t>
    </r>
    <r>
      <rPr>
        <b/>
        <sz val="11"/>
        <color rgb="FF002060"/>
        <rFont val="Arial"/>
        <family val="2"/>
      </rPr>
      <t>read and understood the 'Instructions' sheet</t>
    </r>
    <r>
      <rPr>
        <sz val="11"/>
        <color rgb="FF002060"/>
        <rFont val="Arial"/>
        <family val="2"/>
      </rPr>
      <t xml:space="preserve"> for completing the relevant templates.</t>
    </r>
  </si>
  <si>
    <t xml:space="preserve">             Annexure A1: Performance Standards</t>
  </si>
  <si>
    <r>
      <t xml:space="preserve">All comments are </t>
    </r>
    <r>
      <rPr>
        <b/>
        <sz val="11"/>
        <color rgb="FF002060"/>
        <rFont val="Arial"/>
        <family val="2"/>
      </rPr>
      <t>comprehensive, informative, and relevant</t>
    </r>
    <r>
      <rPr>
        <sz val="11"/>
        <color rgb="FF002060"/>
        <rFont val="Arial"/>
        <family val="2"/>
      </rPr>
      <t xml:space="preserve"> to the current appraisal cycle.</t>
    </r>
  </si>
  <si>
    <r>
      <t xml:space="preserve">Each Performance Standard includes a </t>
    </r>
    <r>
      <rPr>
        <b/>
        <sz val="11"/>
        <color rgb="FF002060"/>
        <rFont val="Arial"/>
        <family val="2"/>
      </rPr>
      <t>completed score</t>
    </r>
    <r>
      <rPr>
        <sz val="11"/>
        <color rgb="FF002060"/>
        <rFont val="Arial"/>
        <family val="2"/>
      </rPr>
      <t>.</t>
    </r>
  </si>
  <si>
    <r>
      <t xml:space="preserve">The </t>
    </r>
    <r>
      <rPr>
        <b/>
        <sz val="11"/>
        <color rgb="FF002060"/>
        <rFont val="Arial"/>
        <family val="2"/>
      </rPr>
      <t>Appraisee, Appraiser, and Principal</t>
    </r>
    <r>
      <rPr>
        <sz val="11"/>
        <color rgb="FF002060"/>
        <rFont val="Arial"/>
        <family val="2"/>
      </rPr>
      <t xml:space="preserve"> have </t>
    </r>
    <r>
      <rPr>
        <b/>
        <sz val="11"/>
        <color rgb="FF002060"/>
        <rFont val="Arial"/>
        <family val="2"/>
      </rPr>
      <t>signed Annexure A1</t>
    </r>
    <r>
      <rPr>
        <sz val="11"/>
        <color rgb="FF002060"/>
        <rFont val="Arial"/>
        <family val="2"/>
      </rPr>
      <t>.</t>
    </r>
  </si>
  <si>
    <r>
      <t xml:space="preserve">I have </t>
    </r>
    <r>
      <rPr>
        <b/>
        <sz val="11"/>
        <color rgb="FF002060"/>
        <rFont val="Arial"/>
        <family val="2"/>
      </rPr>
      <t>completed my Self-Appraisal Instrument</t>
    </r>
    <r>
      <rPr>
        <sz val="11"/>
        <color rgb="FF002060"/>
        <rFont val="Arial"/>
        <family val="2"/>
      </rPr>
      <t xml:space="preserve"> and </t>
    </r>
    <r>
      <rPr>
        <b/>
        <sz val="11"/>
        <color rgb="FF002060"/>
        <rFont val="Arial"/>
        <family val="2"/>
      </rPr>
      <t>signed it</t>
    </r>
    <r>
      <rPr>
        <sz val="11"/>
        <color rgb="FF002060"/>
        <rFont val="Arial"/>
        <family val="2"/>
      </rPr>
      <t>.</t>
    </r>
  </si>
  <si>
    <r>
      <t xml:space="preserve">The </t>
    </r>
    <r>
      <rPr>
        <b/>
        <sz val="11"/>
        <color rgb="FF002060"/>
        <rFont val="Arial"/>
        <family val="2"/>
      </rPr>
      <t>school stamp</t>
    </r>
    <r>
      <rPr>
        <sz val="11"/>
        <color rgb="FF002060"/>
        <rFont val="Arial"/>
        <family val="2"/>
      </rPr>
      <t xml:space="preserve"> is </t>
    </r>
    <r>
      <rPr>
        <b/>
        <sz val="11"/>
        <color rgb="FF002060"/>
        <rFont val="Arial"/>
        <family val="2"/>
      </rPr>
      <t>attached</t>
    </r>
    <r>
      <rPr>
        <sz val="11"/>
        <color rgb="FF002060"/>
        <rFont val="Arial"/>
        <family val="2"/>
      </rPr>
      <t>.</t>
    </r>
  </si>
  <si>
    <r>
      <t xml:space="preserve">            </t>
    </r>
    <r>
      <rPr>
        <b/>
        <sz val="12"/>
        <color rgb="FF002060"/>
        <rFont val="Arial"/>
        <family val="2"/>
      </rPr>
      <t>Annexure E2: Lesson Observation</t>
    </r>
  </si>
  <si>
    <r>
      <t xml:space="preserve">Select </t>
    </r>
    <r>
      <rPr>
        <b/>
        <sz val="12"/>
        <color rgb="FF669900"/>
        <rFont val="Arial"/>
        <family val="2"/>
      </rPr>
      <t>YES</t>
    </r>
    <r>
      <rPr>
        <b/>
        <sz val="12"/>
        <color rgb="FF002060"/>
        <rFont val="Arial"/>
        <family val="2"/>
      </rPr>
      <t>/</t>
    </r>
    <r>
      <rPr>
        <b/>
        <sz val="12"/>
        <color rgb="FFC00000"/>
        <rFont val="Arial"/>
        <family val="2"/>
      </rPr>
      <t>NO</t>
    </r>
  </si>
  <si>
    <r>
      <t xml:space="preserve">Each </t>
    </r>
    <r>
      <rPr>
        <b/>
        <sz val="11"/>
        <color rgb="FF002060"/>
        <rFont val="Arial"/>
        <family val="2"/>
      </rPr>
      <t>Performance Standard</t>
    </r>
    <r>
      <rPr>
        <sz val="11"/>
        <color rgb="FF002060"/>
        <rFont val="Arial"/>
        <family val="2"/>
      </rPr>
      <t xml:space="preserve"> and </t>
    </r>
    <r>
      <rPr>
        <b/>
        <sz val="11"/>
        <color rgb="FF002060"/>
        <rFont val="Arial"/>
        <family val="2"/>
      </rPr>
      <t>Criterion</t>
    </r>
    <r>
      <rPr>
        <sz val="11"/>
        <color rgb="FF002060"/>
        <rFont val="Arial"/>
        <family val="2"/>
      </rPr>
      <t xml:space="preserve"> includes a </t>
    </r>
    <r>
      <rPr>
        <b/>
        <sz val="11"/>
        <color rgb="FF002060"/>
        <rFont val="Arial"/>
        <family val="2"/>
      </rPr>
      <t>completed rating and remark</t>
    </r>
    <r>
      <rPr>
        <sz val="11"/>
        <color rgb="FF002060"/>
        <rFont val="Arial"/>
        <family val="2"/>
      </rPr>
      <t xml:space="preserve"> (compulsory).</t>
    </r>
  </si>
  <si>
    <r>
      <t xml:space="preserve">The </t>
    </r>
    <r>
      <rPr>
        <b/>
        <sz val="11"/>
        <color rgb="FF002060"/>
        <rFont val="Arial"/>
        <family val="2"/>
      </rPr>
      <t>Appraisee and Appraiser</t>
    </r>
    <r>
      <rPr>
        <sz val="11"/>
        <color rgb="FF002060"/>
        <rFont val="Arial"/>
        <family val="2"/>
      </rPr>
      <t xml:space="preserve"> have </t>
    </r>
    <r>
      <rPr>
        <b/>
        <sz val="11"/>
        <color rgb="FF002060"/>
        <rFont val="Arial"/>
        <family val="2"/>
      </rPr>
      <t>signed Annexure E2</t>
    </r>
    <r>
      <rPr>
        <sz val="11"/>
        <color rgb="FF002060"/>
        <rFont val="Arial"/>
        <family val="2"/>
      </rPr>
      <t>.</t>
    </r>
  </si>
  <si>
    <t xml:space="preserve">            Annexure A2: Composite Score Sheet</t>
  </si>
  <si>
    <r>
      <t xml:space="preserve">All </t>
    </r>
    <r>
      <rPr>
        <b/>
        <sz val="11"/>
        <color rgb="FF002060"/>
        <rFont val="Arial"/>
        <family val="2"/>
      </rPr>
      <t>scores</t>
    </r>
    <r>
      <rPr>
        <sz val="11"/>
        <color rgb="FF002060"/>
        <rFont val="Arial"/>
        <family val="2"/>
      </rPr>
      <t xml:space="preserve"> have been </t>
    </r>
    <r>
      <rPr>
        <b/>
        <sz val="11"/>
        <color rgb="FF002060"/>
        <rFont val="Arial"/>
        <family val="2"/>
      </rPr>
      <t>accurately captured</t>
    </r>
    <r>
      <rPr>
        <sz val="11"/>
        <color rgb="FF002060"/>
        <rFont val="Arial"/>
        <family val="2"/>
      </rPr>
      <t xml:space="preserve">, with </t>
    </r>
    <r>
      <rPr>
        <b/>
        <sz val="11"/>
        <color rgb="FF002060"/>
        <rFont val="Arial"/>
        <family val="2"/>
      </rPr>
      <t xml:space="preserve">comments </t>
    </r>
    <r>
      <rPr>
        <sz val="11"/>
        <color rgb="FF002060"/>
        <rFont val="Arial"/>
        <family val="2"/>
      </rPr>
      <t>on</t>
    </r>
    <r>
      <rPr>
        <b/>
        <sz val="11"/>
        <color rgb="FF002060"/>
        <rFont val="Arial"/>
        <family val="2"/>
      </rPr>
      <t xml:space="preserve"> strengths and areas for development</t>
    </r>
    <r>
      <rPr>
        <sz val="11"/>
        <color rgb="FF002060"/>
        <rFont val="Arial"/>
        <family val="2"/>
      </rPr>
      <t>.</t>
    </r>
  </si>
  <si>
    <r>
      <t xml:space="preserve">The </t>
    </r>
    <r>
      <rPr>
        <b/>
        <sz val="11"/>
        <color rgb="FF002060"/>
        <rFont val="Arial"/>
        <family val="2"/>
      </rPr>
      <t>Appraisee and Appraiser</t>
    </r>
    <r>
      <rPr>
        <sz val="11"/>
        <color rgb="FF002060"/>
        <rFont val="Arial"/>
        <family val="2"/>
      </rPr>
      <t xml:space="preserve"> have </t>
    </r>
    <r>
      <rPr>
        <b/>
        <sz val="11"/>
        <color rgb="FF002060"/>
        <rFont val="Arial"/>
        <family val="2"/>
      </rPr>
      <t>signed Annexure A2</t>
    </r>
    <r>
      <rPr>
        <sz val="11"/>
        <color rgb="FF002060"/>
        <rFont val="Arial"/>
        <family val="2"/>
      </rPr>
      <t xml:space="preserve">, and the </t>
    </r>
    <r>
      <rPr>
        <b/>
        <sz val="11"/>
        <color rgb="FF002060"/>
        <rFont val="Arial"/>
        <family val="2"/>
      </rPr>
      <t>Principal has verified</t>
    </r>
    <r>
      <rPr>
        <sz val="11"/>
        <color rgb="FF002060"/>
        <rFont val="Arial"/>
        <family val="2"/>
      </rPr>
      <t xml:space="preserve"> it.</t>
    </r>
  </si>
  <si>
    <r>
      <t xml:space="preserve">I have selected my </t>
    </r>
    <r>
      <rPr>
        <b/>
        <sz val="11"/>
        <color rgb="FF002060"/>
        <rFont val="Arial"/>
        <family val="2"/>
      </rPr>
      <t>two developmental needs</t>
    </r>
    <r>
      <rPr>
        <sz val="11"/>
        <color rgb="FF002060"/>
        <rFont val="Arial"/>
        <family val="2"/>
      </rPr>
      <t xml:space="preserve"> (in collaboration with my supervisor) which will be incorporated into the Staff Development Plan (</t>
    </r>
    <r>
      <rPr>
        <b/>
        <sz val="11"/>
        <color rgb="FF002060"/>
        <rFont val="Arial"/>
        <family val="2"/>
      </rPr>
      <t>SDP</t>
    </r>
    <r>
      <rPr>
        <sz val="11"/>
        <color rgb="FF002060"/>
        <rFont val="Arial"/>
        <family val="2"/>
      </rPr>
      <t xml:space="preserve">) and captured on the school's </t>
    </r>
    <r>
      <rPr>
        <b/>
        <sz val="11"/>
        <color rgb="FF002060"/>
        <rFont val="Arial"/>
        <family val="2"/>
      </rPr>
      <t>Annexure E1</t>
    </r>
    <r>
      <rPr>
        <sz val="11"/>
        <color rgb="FF002060"/>
        <rFont val="Arial"/>
        <family val="2"/>
      </rPr>
      <t>.</t>
    </r>
  </si>
  <si>
    <t>Mid-Year Appraisal Signatures</t>
  </si>
  <si>
    <t xml:space="preserve">         Signature &amp; Date:</t>
  </si>
  <si>
    <t>Annual Appraisal Signatures</t>
  </si>
  <si>
    <t>YEAR</t>
  </si>
  <si>
    <t>Districts</t>
  </si>
  <si>
    <t>Teacher (PL1)</t>
  </si>
  <si>
    <t>Metro Central</t>
  </si>
  <si>
    <t>APPRAISAL INSTRUMENT</t>
  </si>
  <si>
    <t>Senior Teacher (PL1)</t>
  </si>
  <si>
    <t>Metro East</t>
  </si>
  <si>
    <t>Master Teacher (PL1)</t>
  </si>
  <si>
    <t>Metro North</t>
  </si>
  <si>
    <t>Departmental Head (PL2)</t>
  </si>
  <si>
    <t>Metro South</t>
  </si>
  <si>
    <t>I agree with the overall performance rating</t>
  </si>
  <si>
    <t>Acting Departmental Head (PL2)</t>
  </si>
  <si>
    <t>Cape Winelands</t>
  </si>
  <si>
    <t>I do not agree with the overall performance rating</t>
  </si>
  <si>
    <t>Deputy Principal (PL3)</t>
  </si>
  <si>
    <t>Eden &amp; Central Karoo</t>
  </si>
  <si>
    <t>Acting Deputy Principal (PL3)</t>
  </si>
  <si>
    <t>Overberg</t>
  </si>
  <si>
    <t>YES</t>
  </si>
  <si>
    <t>Principal (PL4)</t>
  </si>
  <si>
    <t>West Coast</t>
  </si>
  <si>
    <t>Acting Principal (PL4)</t>
  </si>
  <si>
    <t>Circuit Manager (PL6)</t>
  </si>
  <si>
    <t>Acting Circuit Manager (PL6)</t>
  </si>
  <si>
    <t xml:space="preserve">
SCHOOL NAME</t>
  </si>
  <si>
    <t>PL4</t>
  </si>
  <si>
    <t>PL3</t>
  </si>
  <si>
    <t>PL2</t>
  </si>
  <si>
    <t>PL1</t>
  </si>
  <si>
    <t>A.C.J. PHAKADE PRIMARY SCHOOL</t>
  </si>
  <si>
    <t>Asset management</t>
  </si>
  <si>
    <t>Analysis of results</t>
  </si>
  <si>
    <t>Administration and resources management</t>
  </si>
  <si>
    <t xml:space="preserve">Analysis of results Training </t>
  </si>
  <si>
    <t>A.F. KRIEL VGK PRIMÊRE SKOOL</t>
  </si>
  <si>
    <t>Budget control</t>
  </si>
  <si>
    <t>Assessment management</t>
  </si>
  <si>
    <t>Administration of resources and records</t>
  </si>
  <si>
    <t>Artificial intelligence (A.I) for educators</t>
  </si>
  <si>
    <t>A.F. LOUW LAERSKOOL</t>
  </si>
  <si>
    <t>Change management</t>
  </si>
  <si>
    <t>Asset and records management</t>
  </si>
  <si>
    <t>Assessment techniques</t>
  </si>
  <si>
    <t>A.H. BARNARD PRIMÊRE SKOOL</t>
  </si>
  <si>
    <t>Classroom visits</t>
  </si>
  <si>
    <t xml:space="preserve">Budget control </t>
  </si>
  <si>
    <t>Artificial Intelligence (A.I) for educators</t>
  </si>
  <si>
    <t>Autism spectrum disorder training</t>
  </si>
  <si>
    <t>A.Z. BERMAN HIGH SCHOOL</t>
  </si>
  <si>
    <t xml:space="preserve">Coaching &amp; mentorship skills </t>
  </si>
  <si>
    <t>Assessment</t>
  </si>
  <si>
    <t>Blended learning training</t>
  </si>
  <si>
    <t>A.Z. BERMAN PRIMARY SCHOOL</t>
  </si>
  <si>
    <t>Conflict management</t>
  </si>
  <si>
    <t>AAN DE DOORNS NGK PRIMÊRE SKOOL</t>
  </si>
  <si>
    <t xml:space="preserve">Curriculum management </t>
  </si>
  <si>
    <t>Computer Literacy</t>
  </si>
  <si>
    <t>Communication and presentation skills</t>
  </si>
  <si>
    <t>ABBOTT'S COLLEGE RONDEBOSCH</t>
  </si>
  <si>
    <t xml:space="preserve">Decision-making skills </t>
  </si>
  <si>
    <t>ABC EDUCARE CENTRE</t>
  </si>
  <si>
    <t>Delegation of tasks and responsibilities</t>
  </si>
  <si>
    <t xml:space="preserve">Conflict management </t>
  </si>
  <si>
    <t>ABEDARE PRIMARY SCHOOL</t>
  </si>
  <si>
    <t xml:space="preserve">Delegation skills </t>
  </si>
  <si>
    <t>Data management and data analysis</t>
  </si>
  <si>
    <t>Communication and Presentation Skills</t>
  </si>
  <si>
    <t>Curriculum development to enhance teaching and learning</t>
  </si>
  <si>
    <t>ABEILLE RUCHE SCHOOL</t>
  </si>
  <si>
    <t>Design thinking training programme</t>
  </si>
  <si>
    <t>Decision making and accountability</t>
  </si>
  <si>
    <t>Curriculum Knowledge, Lesson Planning &amp; Presentation</t>
  </si>
  <si>
    <t>ABRA KEDABRA CRECHE</t>
  </si>
  <si>
    <t>Developing stakeholder involvement</t>
  </si>
  <si>
    <t>Curriculum pacing and monitoring</t>
  </si>
  <si>
    <t>ACACIA PRIMÊRE SKOOL</t>
  </si>
  <si>
    <t>E – learning training</t>
  </si>
  <si>
    <t>Data analytics</t>
  </si>
  <si>
    <t xml:space="preserve">Design thinking and project-based learning </t>
  </si>
  <si>
    <t>ACADEMIA PRIMARY SCHOOL</t>
  </si>
  <si>
    <t xml:space="preserve">Effective communication and interpersonal skills </t>
  </si>
  <si>
    <t>Developing and empowering self and others</t>
  </si>
  <si>
    <t>Developing critical thinking in learners</t>
  </si>
  <si>
    <t>ACADEMY OF GLOBAL CURRICULUM HIGH SCHOOL</t>
  </si>
  <si>
    <t>Emotional intelligence</t>
  </si>
  <si>
    <t>Developing effective curriculum structures for improving learner achievement</t>
  </si>
  <si>
    <t>Developing enrichment activities for high performing learners</t>
  </si>
  <si>
    <t>Developing enrichment activities for high-performing learners</t>
  </si>
  <si>
    <t>ACADEMY OF KINGS AND QUEENS</t>
  </si>
  <si>
    <t>Employee health and wellness</t>
  </si>
  <si>
    <t>Developing functional and efficient teams</t>
  </si>
  <si>
    <t xml:space="preserve">Developing remedial activities for improved underperformance </t>
  </si>
  <si>
    <t>ACADEMY PRIVATE SCHOOL</t>
  </si>
  <si>
    <t>Finance management</t>
  </si>
  <si>
    <t>Development of functional system structures</t>
  </si>
  <si>
    <t>Discipline and classroom management</t>
  </si>
  <si>
    <t xml:space="preserve">Developing resources for remedial support </t>
  </si>
  <si>
    <t>ACCORDIONSTRAAT PRIMARY SCHOOL</t>
  </si>
  <si>
    <t>Grievance management</t>
  </si>
  <si>
    <t xml:space="preserve">Discipline management </t>
  </si>
  <si>
    <t>Education leadership and management</t>
  </si>
  <si>
    <t>Developing standardised and high-quality education materials</t>
  </si>
  <si>
    <t>ACHTERTUIN AME PRIMÊRE SKOOL</t>
  </si>
  <si>
    <t>Human resource management &amp; staff development</t>
  </si>
  <si>
    <t>E – Learning training</t>
  </si>
  <si>
    <t xml:space="preserve">Effective curriculum management </t>
  </si>
  <si>
    <t>Differentiated teaching methods</t>
  </si>
  <si>
    <t>AFTON GROVE COUNTRY SCHOOL</t>
  </si>
  <si>
    <t>Inductive reasoning and divergent thinking</t>
  </si>
  <si>
    <t xml:space="preserve">Education leadership and management </t>
  </si>
  <si>
    <t xml:space="preserve">E-learning upskilling </t>
  </si>
  <si>
    <t>Digital marketing and social media training</t>
  </si>
  <si>
    <t>AGAPE KLEUTERSKOOL</t>
  </si>
  <si>
    <t>Information Communication Technology (ICT) upskilling</t>
  </si>
  <si>
    <t>Emerging leaders development programme</t>
  </si>
  <si>
    <t>AGAPESKOOL</t>
  </si>
  <si>
    <t xml:space="preserve">Instructional leadership, management and governance </t>
  </si>
  <si>
    <t>Effective functioning of the SBST (School-Based Support Team)</t>
  </si>
  <si>
    <t>Effective utilisation of resources</t>
  </si>
  <si>
    <t>AGTERWITZENBERG VGK PRIMÊRE SKOOL</t>
  </si>
  <si>
    <t xml:space="preserve">Intervention strategies </t>
  </si>
  <si>
    <t xml:space="preserve">Effective management of LTSM (Learning and Teaching Support Material) </t>
  </si>
  <si>
    <t>Extension of specialised subject-related knowledge and marking</t>
  </si>
  <si>
    <t xml:space="preserve">Effective utilisation of technology-enhanced teaching and learning in the classroom </t>
  </si>
  <si>
    <t>AGULHAS SCHOOL OF SKILLS</t>
  </si>
  <si>
    <t>Involvement of stakeholders</t>
  </si>
  <si>
    <t>Emotional intelligence training</t>
  </si>
  <si>
    <t>AKASIAPARK LAERSKOOL</t>
  </si>
  <si>
    <t xml:space="preserve">Knowledge of assessment management </t>
  </si>
  <si>
    <t>Facilitation and presentation skills</t>
  </si>
  <si>
    <t>Extension of specialised subject related knowledge and marking</t>
  </si>
  <si>
    <t>AKILI EDUCATION SA NPC</t>
  </si>
  <si>
    <t xml:space="preserve">Leading functioning and optimally performing teams </t>
  </si>
  <si>
    <t xml:space="preserve">Filing and record keeping </t>
  </si>
  <si>
    <t>AKKERBOOM PRIMÊRE SKOOL</t>
  </si>
  <si>
    <t xml:space="preserve">Leading the learning school: effective school systems and curriculum structures </t>
  </si>
  <si>
    <t>Fire marshal training</t>
  </si>
  <si>
    <t>AL-AZHAR HIGH SCHOOL</t>
  </si>
  <si>
    <t xml:space="preserve">Leading the learning school: overall curriculum management </t>
  </si>
  <si>
    <t>Fire marshall training</t>
  </si>
  <si>
    <t>First Aid Training – Level 1</t>
  </si>
  <si>
    <t>AL-AZHAR INSTITUTE OF PAARL</t>
  </si>
  <si>
    <t>Leave management</t>
  </si>
  <si>
    <t>First aid Training – Level 2</t>
  </si>
  <si>
    <t>AL-AZHAR PRIMARY SCHOOL</t>
  </si>
  <si>
    <t>Long and short-term planning</t>
  </si>
  <si>
    <t>First Aid Training – Level 2</t>
  </si>
  <si>
    <t>First aid training - level 1</t>
  </si>
  <si>
    <t>ALBAYAAN ISLAMIC COUNCIL NPO BUSINESS AS BELLVILLE</t>
  </si>
  <si>
    <t>Management &amp; advocacy of extra-mural activities</t>
  </si>
  <si>
    <t>Growth mindset training</t>
  </si>
  <si>
    <t>First aid training - level 2</t>
  </si>
  <si>
    <t>ALBERT COLLEGE</t>
  </si>
  <si>
    <t>Management and administration</t>
  </si>
  <si>
    <t>Forms of Assessment: Knowledge and Application</t>
  </si>
  <si>
    <t>ALBERT MYBURGH SEKONDÊRE SKOOL</t>
  </si>
  <si>
    <t>Management of infrastructure</t>
  </si>
  <si>
    <t>Improving moderation techniques</t>
  </si>
  <si>
    <t>Improving feedback to learners</t>
  </si>
  <si>
    <t>Goal setting</t>
  </si>
  <si>
    <t>ALBERTINA SISULU PREPRIMARY SCHOOL</t>
  </si>
  <si>
    <t>Managing poor performance</t>
  </si>
  <si>
    <t>Information Communication Technology (ICT)</t>
  </si>
  <si>
    <t>Information Communication Technology (ICT) integration</t>
  </si>
  <si>
    <t>Google classroom</t>
  </si>
  <si>
    <t>ALBERTINIA HOËRSKOOL</t>
  </si>
  <si>
    <t>Managing quality and securing accountability</t>
  </si>
  <si>
    <t>Intervention and assessment techniques</t>
  </si>
  <si>
    <t>ALEXANDER SINTON SECONDARY</t>
  </si>
  <si>
    <t>Managing the school as an organisation</t>
  </si>
  <si>
    <t>Leadership development, management &amp; administration</t>
  </si>
  <si>
    <t>Knowledge &amp; application of assessment methodology and techniques</t>
  </si>
  <si>
    <t>Improving creative writing skills and marking</t>
  </si>
  <si>
    <t>ALFONS PRIMÊRE SKOOL</t>
  </si>
  <si>
    <t>Mentoring and developing self and others</t>
  </si>
  <si>
    <t>Intervention strategies for improving learner performance</t>
  </si>
  <si>
    <t>ALFRED STAMPER PUBLIC PRIMARY SCHOOL</t>
  </si>
  <si>
    <t xml:space="preserve">Performance management of non-teaching staff: SPMDS &amp; PERMIS implementation </t>
  </si>
  <si>
    <t>Learner-leader training</t>
  </si>
  <si>
    <t>AL-HIDAAYAH COLLEGE</t>
  </si>
  <si>
    <t>Performance management of personnel (i.e. teaching and non-teaching staff)</t>
  </si>
  <si>
    <t xml:space="preserve">Leave management </t>
  </si>
  <si>
    <t>Knowledge of subject matter and the curriculum, lesson planning &amp; presentation</t>
  </si>
  <si>
    <t>ALICEDALE PRIMARY SCHOOL</t>
  </si>
  <si>
    <t>Personnel management</t>
  </si>
  <si>
    <t>Management of stock</t>
  </si>
  <si>
    <t>ALOE HIGH SCHOOL</t>
  </si>
  <si>
    <t>Policy development and strategic planning</t>
  </si>
  <si>
    <t>Meeting procedures and minute taking training</t>
  </si>
  <si>
    <t>Managing classroom visits</t>
  </si>
  <si>
    <t>Management of stock training</t>
  </si>
  <si>
    <t>ALON/ASHEL PREPRIMARY SCHOOL</t>
  </si>
  <si>
    <t>Presentation skills</t>
  </si>
  <si>
    <t>Monitoring classroom management</t>
  </si>
  <si>
    <t>Management of work schedule/ATPS</t>
  </si>
  <si>
    <t>ALPHA EDUCARE CENTRE (GUGULETHU)</t>
  </si>
  <si>
    <t>Progressive discipline procedures</t>
  </si>
  <si>
    <t>Manging underperformance in a Phase</t>
  </si>
  <si>
    <t>Managing learner conflict</t>
  </si>
  <si>
    <t>ALPHA PRIMÊRE SKOOL</t>
  </si>
  <si>
    <t>Project management</t>
  </si>
  <si>
    <t>Managing learners with ADHD and hyperactivity</t>
  </si>
  <si>
    <t>ALPHA SKOOL</t>
  </si>
  <si>
    <t>Records management</t>
  </si>
  <si>
    <t>Mentoring and development of self and others</t>
  </si>
  <si>
    <t>Managing resources and using LTSM effectively</t>
  </si>
  <si>
    <t>ALPINE PRIMARY SCHOOL</t>
  </si>
  <si>
    <t>Recruitment and selection training</t>
  </si>
  <si>
    <t xml:space="preserve">Presentation skills </t>
  </si>
  <si>
    <t>Moderation and monitoring strategies</t>
  </si>
  <si>
    <t>ALTA DU TOIT SKOOL</t>
  </si>
  <si>
    <t>Restorative justice and discipline</t>
  </si>
  <si>
    <t>Organisational skills – Ethics and Etiquette</t>
  </si>
  <si>
    <t>Mental health and the links to learner behaviour</t>
  </si>
  <si>
    <t>ALTENA PRIMARY SCHOOL</t>
  </si>
  <si>
    <t>Roles and responsibilities, constitution and conduct, ethics</t>
  </si>
  <si>
    <t>Quality management and accountability</t>
  </si>
  <si>
    <t>PERMIS Training</t>
  </si>
  <si>
    <t>Mentoring and coaching</t>
  </si>
  <si>
    <t>AMALIENSTEIN LB PRIMÊRE SKOOL</t>
  </si>
  <si>
    <t>SGB capacity-building</t>
  </si>
  <si>
    <t>Phase management and Leading People</t>
  </si>
  <si>
    <t>AMATHEMBA SCHOOL</t>
  </si>
  <si>
    <t>Shaping the direction &amp; development of the school</t>
  </si>
  <si>
    <t>Novice teacher development programme</t>
  </si>
  <si>
    <t>AMBIENCE ACADEMY</t>
  </si>
  <si>
    <t>SMT capacitation</t>
  </si>
  <si>
    <t>Policy development and implementation</t>
  </si>
  <si>
    <t>AMBLESIDE SCHOOL OF HOUT BAY</t>
  </si>
  <si>
    <t>Staff development &amp; management</t>
  </si>
  <si>
    <t>Personal and professional branding</t>
  </si>
  <si>
    <t>AMERICAN INTERNATIONAL SCHOOL OF CAPE TOWN</t>
  </si>
  <si>
    <t>Stakeholder management  (e.g. business, community; parent stakeholders)</t>
  </si>
  <si>
    <t>Suspension and expulsion, code of conduct for learners</t>
  </si>
  <si>
    <t xml:space="preserve">Planning for effective lessons </t>
  </si>
  <si>
    <t>AMSTELHOF PRIMÊRE SKOOL</t>
  </si>
  <si>
    <t xml:space="preserve">Strategic and operational planning </t>
  </si>
  <si>
    <t>Thinking skills</t>
  </si>
  <si>
    <t>Providing leadership, mentoring, support &amp; development</t>
  </si>
  <si>
    <t>AMY BIEHL ENRICHMENT CENTRE</t>
  </si>
  <si>
    <t>Time management</t>
  </si>
  <si>
    <t>Reading for meaning</t>
  </si>
  <si>
    <t>ANDILE PRIMARY SCHOOL</t>
  </si>
  <si>
    <t>Training for Deputy Principals</t>
  </si>
  <si>
    <t>ANNE PIENAAR GEDENK NGK PRIMÊRE SKOOL</t>
  </si>
  <si>
    <t>Time to think</t>
  </si>
  <si>
    <t xml:space="preserve">Upskilling in excel </t>
  </si>
  <si>
    <t xml:space="preserve">Records management aligned to curriculum  </t>
  </si>
  <si>
    <t xml:space="preserve">Records management aligned to curriculum  </t>
  </si>
  <si>
    <t>ANNE'S TODDLERS PREPRIMARY SCHOOL</t>
  </si>
  <si>
    <t>WCED systems training (e.g. CEMIS, PERMIS)</t>
  </si>
  <si>
    <t>Relationship building and networking</t>
  </si>
  <si>
    <t>APEX HIGH SCHOOL</t>
  </si>
  <si>
    <t>Year planner: keeping a record of important events at school</t>
  </si>
  <si>
    <t>Roles &amp; responsibilities of Departmental Heads</t>
  </si>
  <si>
    <t>Remedial intervention strategies</t>
  </si>
  <si>
    <t>APEX NETWORK OF SCHOOLS NPC TRADING AS APEX STELLE</t>
  </si>
  <si>
    <t>Self-reflection for improved performance</t>
  </si>
  <si>
    <t>Smart board classroom</t>
  </si>
  <si>
    <t>APEX PRIMARY SCHOOL</t>
  </si>
  <si>
    <t>Specialised sports coaching</t>
  </si>
  <si>
    <t>APPLEWOOD PREPARATORY SCHOOL</t>
  </si>
  <si>
    <t>Standard setting for question papers</t>
  </si>
  <si>
    <t>AQUILA HIGH SCHOOL</t>
  </si>
  <si>
    <t>Timetable creation</t>
  </si>
  <si>
    <t>STEM teaching</t>
  </si>
  <si>
    <t>ARCADIA PRIMARY SCHOOL</t>
  </si>
  <si>
    <t>Training for Departmental Heads</t>
  </si>
  <si>
    <t>Strategies and techniques for building a positive classroom environment</t>
  </si>
  <si>
    <t>ARCADIA SENIOR SEKONDÊRE SKOOL</t>
  </si>
  <si>
    <t>Training on admissions and enrolment</t>
  </si>
  <si>
    <t>Teaching learners who are on the spectrum</t>
  </si>
  <si>
    <t>ARIESKRAAL SSKV PRIMÊRE SKOOL</t>
  </si>
  <si>
    <t>Trauma sensitive classroom</t>
  </si>
  <si>
    <t>Teaching learners with barriers to learning</t>
  </si>
  <si>
    <t>ARISTEA PRIMARY SCHOOL</t>
  </si>
  <si>
    <t>Teaching reading skills to older learners</t>
  </si>
  <si>
    <t>ASHBURY PRIMÊRE SKOOL</t>
  </si>
  <si>
    <t>Thinking skills Training</t>
  </si>
  <si>
    <t>ASHFORD CHRISTIAN SCHOOL</t>
  </si>
  <si>
    <t>Time management Training</t>
  </si>
  <si>
    <t>ASHRON PRE-PRIMARY SCHOOL</t>
  </si>
  <si>
    <t>Timetabling training</t>
  </si>
  <si>
    <t>ASHTON LAERSKOOL</t>
  </si>
  <si>
    <t>ASHTON PUBLIC COMBINED SCHOOL</t>
  </si>
  <si>
    <t>Understanding differentiated learning styles</t>
  </si>
  <si>
    <t>ASHTON SEKONDÊRE SKOOL</t>
  </si>
  <si>
    <t>ASHTON VOCATIONAL ACADEMY</t>
  </si>
  <si>
    <t>White board training</t>
  </si>
  <si>
    <t>ASTRA SKOOL</t>
  </si>
  <si>
    <t>ATHLONE NORTH PRIMARY SCHOOL</t>
  </si>
  <si>
    <t>ATHLONE PREPRIMARY SCHOOL</t>
  </si>
  <si>
    <t>ATHLONE SECONDARY SCHOOL</t>
  </si>
  <si>
    <t>ATHLONE SKOOL VIR BLINDES</t>
  </si>
  <si>
    <t>ATHWOOD PRIMARY SCHOOL</t>
  </si>
  <si>
    <t>ATLANTIC BEACH COLLEGE</t>
  </si>
  <si>
    <t>ATLANTIS METHODIST EDUCARE CENTRE</t>
  </si>
  <si>
    <t>ATLANTIS SEKONDÊRE SKOOL</t>
  </si>
  <si>
    <t>ATLANTIS VAARDIGHEIDSKOOL</t>
  </si>
  <si>
    <t>ATTIE VAN WYK VGK PRIMÊRE SKOOL</t>
  </si>
  <si>
    <t>AUBURN HOUSE SCHOOL</t>
  </si>
  <si>
    <t>AUDAS HOUSE REMEDIAL SCHOOL</t>
  </si>
  <si>
    <t>AUGSBURG LANDBOUGIMNASIUM</t>
  </si>
  <si>
    <t>AURIAL COLLEGE</t>
  </si>
  <si>
    <t>AURORA HOËRSKOOL</t>
  </si>
  <si>
    <t>AVIAN PARK PRIMÊRE SKOOL</t>
  </si>
  <si>
    <t>AVONDALE PRIMARY SCHOOL</t>
  </si>
  <si>
    <t>AVONTUUR LB PRIMÊRE SKOOL</t>
  </si>
  <si>
    <t>AXIOS SCHOOL OF SKILLS</t>
  </si>
  <si>
    <t>B.F. OOSTHUIZEN PRIMÊRE SKOOL</t>
  </si>
  <si>
    <t>BAARTMANSFONTEIN NGK PRIMÊRE SKOOL</t>
  </si>
  <si>
    <t>BABBEL EN KRABBEL (HERMANUS) PREPRIMARY SCHOOL</t>
  </si>
  <si>
    <t>BABBEL EN KRABBEL (MELKBOSSTRAND)</t>
  </si>
  <si>
    <t>BABBEL EN KRABBEL KLEUTERSKOOL (BREDASDORP)</t>
  </si>
  <si>
    <t>BABBEL EN KRABBELS CRECHE</t>
  </si>
  <si>
    <t>BABS EDUCARE</t>
  </si>
  <si>
    <t>BADEN NGK PRIMÊRE SKOOL</t>
  </si>
  <si>
    <t>BAHIA FORMOSA SCHOOL</t>
  </si>
  <si>
    <t>BAIRNSLEIGH PREPRIMARY SCHOOL</t>
  </si>
  <si>
    <t>BAKERVILLE PRIMÊRE SKOOL</t>
  </si>
  <si>
    <t>BALCO COLLEGE</t>
  </si>
  <si>
    <t>BALVENIE PRIMARY SCHOOL</t>
  </si>
  <si>
    <t>BAMBINO BEWAARSKOOL</t>
  </si>
  <si>
    <t>BAMBINO'S CRECHE</t>
  </si>
  <si>
    <t>BAPHUMELELE EDUCARE</t>
  </si>
  <si>
    <t>BARDALE PRIMARY SCHOOL</t>
  </si>
  <si>
    <t>BARDALE SECONDARY SCHOOL</t>
  </si>
  <si>
    <t>BARKLY HOUSE NEWLANDS PRE-PRIMARY SCHOOL</t>
  </si>
  <si>
    <t>BARRYDALE HOËRSKOOL</t>
  </si>
  <si>
    <t>BASTIAANSE SEKONDÊRE SKOOL</t>
  </si>
  <si>
    <t>BASTION PRIMARY SCHOOL</t>
  </si>
  <si>
    <t>BATAVIA SPESIALE SKOOL</t>
  </si>
  <si>
    <t>BATTSWOOD KUNSSENTRUM</t>
  </si>
  <si>
    <t>BATTSWOOD PRIMARY SCHOOL</t>
  </si>
  <si>
    <t>BAY PRIMARY SCHOOL</t>
  </si>
  <si>
    <t>BAYERNGARDEN CENTRE FOR EARLY CHILDHOOD DEVELOPMEN</t>
  </si>
  <si>
    <t>BEACON HILL SEKONDÊR</t>
  </si>
  <si>
    <t>BEACON SKOOL</t>
  </si>
  <si>
    <t>BEACON VIEW PRIMARY SCHOOL</t>
  </si>
  <si>
    <t>BEAU SOLEIL MUSIEKSENTRUM</t>
  </si>
  <si>
    <t>BEAUFORT WES VOORBEREIDINGSKOOL</t>
  </si>
  <si>
    <t>BEAUFORT WEST PRIMÊRE SKOOL</t>
  </si>
  <si>
    <t>BEAUFORT-WES SEKONDÊR</t>
  </si>
  <si>
    <t>BEAUMONT PRIMARY SCHOOL</t>
  </si>
  <si>
    <t>BEAUVALLON SEKONDÊR</t>
  </si>
  <si>
    <t>BEL PORTO SKOOL</t>
  </si>
  <si>
    <t>BELGRAVIA DAY CARE CENTRE</t>
  </si>
  <si>
    <t>BELGRAVIA SECONDARY</t>
  </si>
  <si>
    <t>BELHAR ISLAMIC PRIMARY SCHOOL</t>
  </si>
  <si>
    <t>BELHAR PRIMARY SCHOOL</t>
  </si>
  <si>
    <t>BELHAR SEKONDÊR</t>
  </si>
  <si>
    <t>BELLA VISTA HOËRSKOOL</t>
  </si>
  <si>
    <t>BELLA VISTA PRIMÊRE SKOOL</t>
  </si>
  <si>
    <t>BELLPARK PRIMARY SCHOOL</t>
  </si>
  <si>
    <t>BELLVILLE CHRISTIAN ACADEMY</t>
  </si>
  <si>
    <t>BELLVILLE HOËR TEGNIESE SKOOL</t>
  </si>
  <si>
    <t>BELLVILLE HOËRSKOOL</t>
  </si>
  <si>
    <t>BELLVILLE PREPARATORY SCHOOL</t>
  </si>
  <si>
    <t>BELLVILLE PRIMARY SCHOOL</t>
  </si>
  <si>
    <t>BELLVILLE-NOORD PRIMÊRE SKOOL</t>
  </si>
  <si>
    <t>BELLVILLE-SUID PRIMÊRE SKOOL</t>
  </si>
  <si>
    <t>BELLVILLE-SUID SEKONDÊR</t>
  </si>
  <si>
    <t>BELMOR PRIMARY SCHOOL</t>
  </si>
  <si>
    <t>BELTHORN PRIMARY SCHOOL</t>
  </si>
  <si>
    <t>BELVUE PRIMARY SCHOOL</t>
  </si>
  <si>
    <t>BEREA MOR PRIMÊRE SKOOL</t>
  </si>
  <si>
    <t>BERGENDAL SSKV PRIMÊRE SKOOL</t>
  </si>
  <si>
    <t>BERGHOF NGK PRIMÊRE SKOOL</t>
  </si>
  <si>
    <t>BERGRIVIER NGK PRIMÊRE SKOOL</t>
  </si>
  <si>
    <t>BERGRIVIER SEKONDÊR</t>
  </si>
  <si>
    <t>BERGSIG PRIMARY SCHOOL</t>
  </si>
  <si>
    <t>BERGSIG PRIMÊRE SKOOL</t>
  </si>
  <si>
    <t>BERGVILLE PRIMÊRE SKOOL</t>
  </si>
  <si>
    <t>BERGVLIET HIGH SCHOOL</t>
  </si>
  <si>
    <t>BERGVLIET PRIMARY SCHOOL</t>
  </si>
  <si>
    <t>BERNADINO HEIGHTS SEKONDÊR</t>
  </si>
  <si>
    <t>BERTIE BARNARD LAERSKOOL</t>
  </si>
  <si>
    <t>BERZELIA PRIMARY SCHOOL</t>
  </si>
  <si>
    <t>BET-EL PRIMÊRE SKOOL</t>
  </si>
  <si>
    <t>BET-EL SKOOL VIR EPILEPTICI</t>
  </si>
  <si>
    <t>BETHELI EDUCARE</t>
  </si>
  <si>
    <t>BETTER BEGINNINGS COLLEGE</t>
  </si>
  <si>
    <t>BEVERLEY PARK PRIMARY SCHOOL</t>
  </si>
  <si>
    <t>BHONGOLETHU CHILD CARE CENTRE</t>
  </si>
  <si>
    <t>BIG BAY ACADEMY</t>
  </si>
  <si>
    <t>BISHOP LAVIS PRIMARY SCHOOL</t>
  </si>
  <si>
    <t>BISHOP LAVIS SEKONDÊR</t>
  </si>
  <si>
    <t>BISHOPS</t>
  </si>
  <si>
    <t>BISHOPS SCHOOL OF SKILLS</t>
  </si>
  <si>
    <t>BISSETSDRIFT AKADEMIE</t>
  </si>
  <si>
    <t>BITTERFONTEIN PRIMÊRE SKOOL</t>
  </si>
  <si>
    <t>BIZWENI PRIMARY SCHOOL</t>
  </si>
  <si>
    <t>BLAAUWBERG RISE THERAPY AND LEARNING CENTRE</t>
  </si>
  <si>
    <t>BLACKHEATH PRIMARY SCHOOL</t>
  </si>
  <si>
    <t>BLACKHEATH SEKONDÊR</t>
  </si>
  <si>
    <t>BLANCO LAERSKOOL</t>
  </si>
  <si>
    <t>BLOEKOMBOS PRIMARY SCHOOL</t>
  </si>
  <si>
    <t>BLOEKOMBOS SECONDARY SCHOOL</t>
  </si>
  <si>
    <t>BLOEMENDAL NGK PRIMÊRE SKOOL</t>
  </si>
  <si>
    <t>BLOEMENHOF NGK PRIMÊRE SKOOL</t>
  </si>
  <si>
    <t>BLOEMHOF HOËRSKOOL</t>
  </si>
  <si>
    <t>BLOMMELAND EDUCARE CENTRE</t>
  </si>
  <si>
    <t>BLOMVLEI PRIMARY SCHOOL</t>
  </si>
  <si>
    <t>BLOSSOM STREET PRIMARY SCHOOL</t>
  </si>
  <si>
    <t>BLOUBERG INTERNATIONAL ACADEMY</t>
  </si>
  <si>
    <t>BLOUBERG RIDGE PRIMARY SCHOOL</t>
  </si>
  <si>
    <t>BLOUBERGRANT PREPRIMARY SCHOOL</t>
  </si>
  <si>
    <t>BLOUBERGRANT SECONDARY SCHOOL</t>
  </si>
  <si>
    <t>BLOUVLEI ACADEMY</t>
  </si>
  <si>
    <t>BLOUVLEI SKOOL &amp; RESOURCE CENTRE</t>
  </si>
  <si>
    <t>BLUE DOWNS HIGH SCHOOL</t>
  </si>
  <si>
    <t>BLUE DOWNS PRIMARY SCHOOL</t>
  </si>
  <si>
    <t>BLUE MOON MONTESSORI SCHOOL (PTY) LTD TRADING AS B</t>
  </si>
  <si>
    <t>BLUE RIDGE PRIMARY SCHOOL</t>
  </si>
  <si>
    <t>BLUEBERRY HILL HIGH SCHOOL</t>
  </si>
  <si>
    <t>BO-DOORNRIVIER PRIMÊRE SKOOL</t>
  </si>
  <si>
    <t>BOESMANSRIVIER NGK PRIMÊRE SKOOL</t>
  </si>
  <si>
    <t>BOKMAKIERIE PRIMARY SCHOOL</t>
  </si>
  <si>
    <t>BOLAND LANDBOUSKOOL</t>
  </si>
  <si>
    <t>BONGA LOWER PRIMARY SCHOOL</t>
  </si>
  <si>
    <t>BONGOLETHU EDUCARE</t>
  </si>
  <si>
    <t>BONGOLETHU PRIMARY SCHOOL</t>
  </si>
  <si>
    <t>BONGOLETHU PRIMARY SCHOOL(NYANGA)</t>
  </si>
  <si>
    <t>BONNE ESPERANCE PRIMÊRE SKOOL</t>
  </si>
  <si>
    <t>BONNIEVALE HOËRSKOOL</t>
  </si>
  <si>
    <t>BONNIEVALE PRIMÊRE SKOOL</t>
  </si>
  <si>
    <t>BONTEBOK PRIMÊRE SKOOL</t>
  </si>
  <si>
    <t>BONTEHEUWEL SEKONDÊR</t>
  </si>
  <si>
    <t>BOONTJIESKRAAL PRIMÊRE SKOOL</t>
  </si>
  <si>
    <t>BOORHAANOL PREPRIMARY SCHOOL</t>
  </si>
  <si>
    <t>BOOST ACADEMY CAPE TOWN</t>
  </si>
  <si>
    <t>BOOYSENDAL NGK PRIMÊRE SKOOL</t>
  </si>
  <si>
    <t>BOPLAAS NGK PRIMÊRE SKOOL</t>
  </si>
  <si>
    <t>BOSASA CLANWILLIAM YOUTH DEVELOPMENT CENTRE</t>
  </si>
  <si>
    <t>BOSKO CHRISTIAN SCHOOL</t>
  </si>
  <si>
    <t>BOSMANSDAM HOËRSKOOL</t>
  </si>
  <si>
    <t>BOSMANSDAM PRIMARY SCHOOL</t>
  </si>
  <si>
    <t>BOSTON PRIMARY SCHOOL</t>
  </si>
  <si>
    <t>BOSTON PRIVATE SCHOOL</t>
  </si>
  <si>
    <t>BOTHA'S HALTE NGK PRIMÊRE SKOOL</t>
  </si>
  <si>
    <t>BOTHASIG HIGH SCHOOL</t>
  </si>
  <si>
    <t>BOTRIVIER PRIMÊRE SKOOL</t>
  </si>
  <si>
    <t>BOTTELARY PRIMÊRE SKOOL</t>
  </si>
  <si>
    <t>BOUNDARY PRIMARY SCHOOL</t>
  </si>
  <si>
    <t>BOY MULLER PRIMÊRE SKOOL</t>
  </si>
  <si>
    <t>BRACKEN HILL EK PRIMÊRE SKOOL</t>
  </si>
  <si>
    <t>BRACKENFELL HOËRSKOOL</t>
  </si>
  <si>
    <t>BRACKENFELL PRIMARY SCHOOL</t>
  </si>
  <si>
    <t>BRAKANJAN EDUCARE</t>
  </si>
  <si>
    <t>BRAKFONTEIN EK PRIMÊRE SKOOL</t>
  </si>
  <si>
    <t>BRAMBLE HILL INTERNATIONAL SCHOOL</t>
  </si>
  <si>
    <t>BRAMBLE WAY PRIMARY SCHOOL</t>
  </si>
  <si>
    <t>BRANDENBURG  PRIMÊRE SKOOL</t>
  </si>
  <si>
    <t>BRANDVLEI YOUTH CENTRE</t>
  </si>
  <si>
    <t>BRANDWACHT NGK PRIMÊRE SKOOL</t>
  </si>
  <si>
    <t>BREDASDORP HOËRSKOOL</t>
  </si>
  <si>
    <t>BREDASDORP PRIMARY SCHOOL</t>
  </si>
  <si>
    <t>BREEDE VALLEY SCHOOL OF SKILLS</t>
  </si>
  <si>
    <t>BREËRIVIER HOËRSKOOL</t>
  </si>
  <si>
    <t>BREERIVIER LAERSKOOL</t>
  </si>
  <si>
    <t>BREEVLEI PRIMÊRE SKOOL</t>
  </si>
  <si>
    <t>BRIDGE HOUSE SCHOOL</t>
  </si>
  <si>
    <t>BRIDGETOWN SECONDARY</t>
  </si>
  <si>
    <t>BRIDGEVILLE PRIMARY SCHOOL</t>
  </si>
  <si>
    <t>BRIDGTON SEKONDÊR</t>
  </si>
  <si>
    <t>BRIGHT START PRESCHOOL &amp; EDUCARE</t>
  </si>
  <si>
    <t>BRIGHT STUDENT LEARNING CENTRE - FISH HOEK</t>
  </si>
  <si>
    <t>BRITSEVLAKTE NGK PRIMÊRE SKOOL</t>
  </si>
  <si>
    <t>BRITSUM NGK PRIMÊRE SKOOL</t>
  </si>
  <si>
    <t>BROOKLANDS PRIMARY SCHOOL</t>
  </si>
  <si>
    <t>BRUCKNER DE VILLIERS PRIMÊRE SKOOL</t>
  </si>
  <si>
    <t>BUBBALU DAY CARE CENTRE</t>
  </si>
  <si>
    <t>BUCK ROAD PRIMARY SCHOOL</t>
  </si>
  <si>
    <t>BUFFELJAGSRIVIER LAERSKOOL</t>
  </si>
  <si>
    <t>BUFFELSKLOOF SSKV PRIMÊRE SKOOL</t>
  </si>
  <si>
    <t>BUFFELSRIVIER PRIVATE PRIMÊRE SKOOL</t>
  </si>
  <si>
    <t>BULUMKO SECONDARY SCHOOL</t>
  </si>
  <si>
    <t>BUNDLES OF JOY CHILDCARE CENTRE</t>
  </si>
  <si>
    <t>BUREN HOËRSKOOL</t>
  </si>
  <si>
    <t>BURGER STRANDHUIS</t>
  </si>
  <si>
    <t>BUZZI BEES PREPRIMARY AND AFTER CARE</t>
  </si>
  <si>
    <t>C.L. WILMOT PRIMARY SCHOOL</t>
  </si>
  <si>
    <t>CAFDA SCHOOL OF SKILLS</t>
  </si>
  <si>
    <t>CALEO LEARNING CENTRE</t>
  </si>
  <si>
    <t>CALITZDORP HOËRSKOOL</t>
  </si>
  <si>
    <t>CALLING ACADEMY PAARL</t>
  </si>
  <si>
    <t>CALLING EDUCATION NPC TRADING AS CALLING ACADEMY</t>
  </si>
  <si>
    <t>CAMPS BAY HIGH SCHOOL</t>
  </si>
  <si>
    <t>CAMPS BAY PRIMARY SCHOOL</t>
  </si>
  <si>
    <t>CANNONS CREEK INDEPENDENT SCHOOL NPC</t>
  </si>
  <si>
    <t>CAPE ACADEMY FOR MATHS, SCIENCE AND TECHNOLOGY</t>
  </si>
  <si>
    <t>CAPE CHORAL ACADEMY</t>
  </si>
  <si>
    <t>CAPE TOWN HIGH SCHOOL</t>
  </si>
  <si>
    <t>CAPE TOWN MONTESSORI SCHOOL</t>
  </si>
  <si>
    <t>CAPE TOWN TORAH HIGH SCHOOL</t>
  </si>
  <si>
    <t>CAPE WINELANDS INTERNATIONAL SCHOOL</t>
  </si>
  <si>
    <t>CAPELLA HOUSE</t>
  </si>
  <si>
    <t>CAPRICCIO ARTS POWERED PRESCHOOL</t>
  </si>
  <si>
    <t>CAPRICCIO! ARTS POWERED PREPARATORY</t>
  </si>
  <si>
    <t>CAPRICORN PRIMARY SCHOOL</t>
  </si>
  <si>
    <t>CARADALE PRIMARY SCHOOL</t>
  </si>
  <si>
    <t>CARAVELLE PRIMARY SCHOOL</t>
  </si>
  <si>
    <t>CAREL DU TOIT SENTRUM</t>
  </si>
  <si>
    <t>CARL SCHREVE (MOR) PRIMÊRE SKOOL</t>
  </si>
  <si>
    <t>CARNEGIE HOUSE INDEPENDENT SCHOOL</t>
  </si>
  <si>
    <t>CARNEGIE HOUSE PREPARATORY (PAARL)</t>
  </si>
  <si>
    <t>CARPE DIEM SKOOL</t>
  </si>
  <si>
    <t>CASCADE PRIMARY SCHOOL</t>
  </si>
  <si>
    <t>CATHKIN SECONDARY SCHOOL</t>
  </si>
  <si>
    <t>CAVALLERIA PRIMARY SCHOOL</t>
  </si>
  <si>
    <t>CBC ST. JOHN'S PARKLANDS</t>
  </si>
  <si>
    <t>CE ACADEMY</t>
  </si>
  <si>
    <t>CECIL ROAD PRIMARY SCHOOL</t>
  </si>
  <si>
    <t>CEDAR HOUSE SCHOOL</t>
  </si>
  <si>
    <t>CEDAR PRIMARY SCHOOL</t>
  </si>
  <si>
    <t>CEDAR SECONDARY SCHOOL</t>
  </si>
  <si>
    <t>CEDERBERG ACADEMY</t>
  </si>
  <si>
    <t>CENTRAL PARK PRIMARY SCHOOL</t>
  </si>
  <si>
    <t>CENTRE FOR CONSERVATION ED.</t>
  </si>
  <si>
    <t>CENTRE FOR CREATIVE EDUCATION</t>
  </si>
  <si>
    <t>CENTRE OF SCIENCE AND TECHNOLOGY</t>
  </si>
  <si>
    <t>CERES LIONS PREPRIMARY SCHOOL</t>
  </si>
  <si>
    <t>CERES PRIMÊRE SKOOL</t>
  </si>
  <si>
    <t>CERES SEKONDÊR</t>
  </si>
  <si>
    <t>CHAMELEON PRESCHOOL AND EDUCARE CENTRE</t>
  </si>
  <si>
    <t>CHAMELEON SCHOOLS</t>
  </si>
  <si>
    <t>CHAMELEON SCHOOLS-GOODWOOD</t>
  </si>
  <si>
    <t>CHAPEL STREET PRIMARY SCHOOL</t>
  </si>
  <si>
    <t>CHARLESTON HILL PRIMARY SCHOOL</t>
  </si>
  <si>
    <t>CHARLESTON HILL SEKONDÊR</t>
  </si>
  <si>
    <t>CHARLIE HOFMEYR HOËRSKOOL</t>
  </si>
  <si>
    <t>CHATSWORTH AME PRIMARY SCHOOL</t>
  </si>
  <si>
    <t>CHERE  BOTHA SKOOL</t>
  </si>
  <si>
    <t>CHILDREN'S ART CENTRE</t>
  </si>
  <si>
    <t>CHOKMAH INDEPENDENT SCHOOL</t>
  </si>
  <si>
    <t>CHRIS HANI SECONDARY SCHOOL</t>
  </si>
  <si>
    <t>CHRIS NISSEN PRIMARY SCHOOL</t>
  </si>
  <si>
    <t>CHRIST DIVINE EDUCARE</t>
  </si>
  <si>
    <t>CHRIST GEN SCHOOL</t>
  </si>
  <si>
    <t>CHRISTEL HOUSE SOUTH AFRICA</t>
  </si>
  <si>
    <t>CHRISTELIKE PRIVAATSKOOL LEIPOLDTVILLE</t>
  </si>
  <si>
    <t>CHRISTELIKE PRIVAATSKOOL MALMESBURY</t>
  </si>
  <si>
    <t>CHRISTEN AKADEMIE</t>
  </si>
  <si>
    <t>CHRISTIAN DAVID MOR PRIMÊRE SKOOL</t>
  </si>
  <si>
    <t>CHRISTLIKE ACADEMY</t>
  </si>
  <si>
    <t>CHRISTMAS TINTO PRIMARY SCHOOL</t>
  </si>
  <si>
    <t>CHUMA PUBLIC PRIMARY SCHOOL</t>
  </si>
  <si>
    <t>CHUMISA PRIMARY SCHOOL</t>
  </si>
  <si>
    <t>CHURCH OF CHRIST PREPRIMARY SCHOOL</t>
  </si>
  <si>
    <t>CITRUSDAL PRIMÊRE SKOOL</t>
  </si>
  <si>
    <t>CITY MISSION EDUCATIONAL SERVICES</t>
  </si>
  <si>
    <t>CLANWILLIAM SEKONDÊR</t>
  </si>
  <si>
    <t>CLAREMONT HIGH SCHOOL</t>
  </si>
  <si>
    <t>CLAREMONT PRIMARY SCHOOL</t>
  </si>
  <si>
    <t>CLARKE PRIMÊRE SKOOL</t>
  </si>
  <si>
    <t>CLEVER HEADS PREPRIMARY SCHOOL</t>
  </si>
  <si>
    <t>CLIFT COLLEGE INTERNATIONAL SCHOOL</t>
  </si>
  <si>
    <t>CLOETESVILLE HOËRSKOOL</t>
  </si>
  <si>
    <t>CLOETESVILLE PRIMÊRE SKOOL</t>
  </si>
  <si>
    <t>COLLEGE OF CAPE TOWN CHILDREN'S ACADEMY</t>
  </si>
  <si>
    <t>COLRIDGE PRIMÊRE SKOOL</t>
  </si>
  <si>
    <t>CONCORDIA HIGH SCHOOL</t>
  </si>
  <si>
    <t>CONCORDIA NGK PRIMÊRE SKOOL</t>
  </si>
  <si>
    <t>CONCORDIA PRIMÊRE SKOOL</t>
  </si>
  <si>
    <t>CONSTANTIA PRIMARY SCHOOL</t>
  </si>
  <si>
    <t>CONSTANTIA WALDORF SCHOOL</t>
  </si>
  <si>
    <t>CONVILLE PRIMARY SCHOOL</t>
  </si>
  <si>
    <t>CORNELIUS GERSHAM SCHOOL</t>
  </si>
  <si>
    <t>CORNELIUS SCHOOLS</t>
  </si>
  <si>
    <t>CORNFLOWER PRIMARY SCHOOL</t>
  </si>
  <si>
    <t>COUNTRY HOUSE SCHOOL</t>
  </si>
  <si>
    <t>COURTRAI PRIMARY SCHOOL</t>
  </si>
  <si>
    <t>CRAVENBY SECONDARY SCHOOL</t>
  </si>
  <si>
    <t>CRESCA PRIMARY SCHOOL</t>
  </si>
  <si>
    <t>CRESCENT PRIMARY SCHOOL NPC</t>
  </si>
  <si>
    <t>CRESTWAY SECONDARY SCHOOL</t>
  </si>
  <si>
    <t>CROSSPOINT ACADEMY - STRAND</t>
  </si>
  <si>
    <t>CRYSTAL SEKONDÊR</t>
  </si>
  <si>
    <t>CULTIVATING EXCELLENCE ACADEMY</t>
  </si>
  <si>
    <t>CURRO BRACKENFELL</t>
  </si>
  <si>
    <t>CURRO BURGUNDY</t>
  </si>
  <si>
    <t>CURRO CENTURY CITY</t>
  </si>
  <si>
    <t>CURRO DELFT</t>
  </si>
  <si>
    <t>CURRO DURBANVILLE</t>
  </si>
  <si>
    <t>CURRO DURBANVILLE HIGH</t>
  </si>
  <si>
    <t>CURRO FORESHORE</t>
  </si>
  <si>
    <t>CURRO GEORGE</t>
  </si>
  <si>
    <t>CURRO HERMANUS</t>
  </si>
  <si>
    <t>CURRO LANGEBAAN PRIVATE SCHOOL</t>
  </si>
  <si>
    <t>CURRO MOSSEL BAY</t>
  </si>
  <si>
    <t>CURRO SANDOWN</t>
  </si>
  <si>
    <t>CURRO SOMERSET WEST</t>
  </si>
  <si>
    <t>CURRO UITZICHT HIGH SCHOOL</t>
  </si>
  <si>
    <t>CURRO UITZICHT INDEPENDENT SCHOOL</t>
  </si>
  <si>
    <t>CYPRESS PRIMARY SCHOOL</t>
  </si>
  <si>
    <t>D.F. MALAN HOËRSKOOL</t>
  </si>
  <si>
    <t>DAGBREEK LAERSKOOL</t>
  </si>
  <si>
    <t>DAGBREEK PRIMARY SCHOOL</t>
  </si>
  <si>
    <t>DAL JOSAPHAT PRIMÊRE SKOOL</t>
  </si>
  <si>
    <t>DALUBUHLE PRIMARY SCHOOL</t>
  </si>
  <si>
    <t>DALWEIDE PRIMÊRE SKOOL</t>
  </si>
  <si>
    <t>DANIE ACKERMANN PRIMARY SCHOOL</t>
  </si>
  <si>
    <t>DANIEL ACADEMY</t>
  </si>
  <si>
    <t>DANIEL LE ROUX PRIMÊRE SKOOL</t>
  </si>
  <si>
    <t>DANKOORD VGK PRIMÊRE SKOOL</t>
  </si>
  <si>
    <t>DARLING HIGH SCHOOL</t>
  </si>
  <si>
    <t>DARLING KOLLEGE</t>
  </si>
  <si>
    <t>DARLING LAERSKOOL</t>
  </si>
  <si>
    <t>DARLING PREPRIMARY SCHOOL</t>
  </si>
  <si>
    <t>DARUL ARQAM ISLAMIC HIGH SCHOOL</t>
  </si>
  <si>
    <t>DARUL ISLAM ISLAMIC HIGH SCHOOL</t>
  </si>
  <si>
    <t>DARUL ISLAM PRIMARY SCHOOL NPC</t>
  </si>
  <si>
    <t>DARUN NA'IM ACADEMY</t>
  </si>
  <si>
    <t>DASSIE VOORSKOOLSE SENTRUM</t>
  </si>
  <si>
    <t>DE DOORNS PRIMARY SCHOOL</t>
  </si>
  <si>
    <t>DE GRENDEL SPESIALE SKOOL</t>
  </si>
  <si>
    <t>DE HEIDE PRIMARY SCHOOL</t>
  </si>
  <si>
    <t>DE HOOP LAERSKOOL</t>
  </si>
  <si>
    <t>DE JAGER VGK PRIMÊRE SKOOL</t>
  </si>
  <si>
    <t>DE KRUINE SEKONDÊR</t>
  </si>
  <si>
    <t>DE KUILEN HOËRSKOOL</t>
  </si>
  <si>
    <t>DE KUILEN PRIMARY SCHOOL</t>
  </si>
  <si>
    <t>DE LA BAT-SKOOL</t>
  </si>
  <si>
    <t>DE MEUL NGK PRIMÊRE SKOOL</t>
  </si>
  <si>
    <t>DE RUST FUTURA AKADEMIE</t>
  </si>
  <si>
    <t>DE RUST PRIMÊRE SKOOL</t>
  </si>
  <si>
    <t>DE RUST SEKONDÊR</t>
  </si>
  <si>
    <t>DE TUINEN PRIMÊRE SKOOL</t>
  </si>
  <si>
    <t>DE TYGER LAERSKOOL</t>
  </si>
  <si>
    <t>DE VILLIERS GRAAFF HOËRSKOOL</t>
  </si>
  <si>
    <t>DE VILLIERS GRAAFF PRIMARY SCHOOL</t>
  </si>
  <si>
    <t>DE VILLIERS LAERSKOOL</t>
  </si>
  <si>
    <t>DE VILLIERS PRIMÊRE SKOOL</t>
  </si>
  <si>
    <t>DE VRIJE ZEE PRIMARY SCHOOL</t>
  </si>
  <si>
    <t>DE WAALVILLE PRIMÊRE SKOOL</t>
  </si>
  <si>
    <t>DE WAVEREN PRIMARY SCHOOL</t>
  </si>
  <si>
    <t>DELFT HIGH SCHOOL</t>
  </si>
  <si>
    <t>DELFT PRIMARY SCHOOL</t>
  </si>
  <si>
    <t>DELFT TECHNICAL HIGH SCHOOL</t>
  </si>
  <si>
    <t>DELFT-NORTH PRIMARY SCHOOL</t>
  </si>
  <si>
    <t>DELFT-SOUTH PRIMARY SCHOOL</t>
  </si>
  <si>
    <t>DELICUIM ACADEMIC PRIVATE SCHOOL</t>
  </si>
  <si>
    <t>DELLVILLE PARK PRIMARY SCHOOL</t>
  </si>
  <si>
    <t>DELTA PRIMARY SCHOOL</t>
  </si>
  <si>
    <t>DENNEGEUR NGK PRIMÊRE SKOOL</t>
  </si>
  <si>
    <t>DENNEGEUR PRIMARY SCHOOL</t>
  </si>
  <si>
    <t>DENNEMERE CHRISTIAN PRE-SCHOOL ACADEMY</t>
  </si>
  <si>
    <t>DENNEMERE PRIMARY SCHOOL</t>
  </si>
  <si>
    <t>DENNEOORD LAERSKOOL</t>
  </si>
  <si>
    <t>DENNEPRAG PRIMÊRE SKOOL</t>
  </si>
  <si>
    <t>DESMOND MPILO TUTU SECONDARY SCHOOL</t>
  </si>
  <si>
    <t>DESTINATUS PRIVAATSKOOL</t>
  </si>
  <si>
    <t>DEUTSCHE INTERNATIONALE SCHULE KAPSTADT</t>
  </si>
  <si>
    <t>DEUTSCHER KINDERGARTEN (BELLVILLE)</t>
  </si>
  <si>
    <t>DEVONVALLEI PRIMÊRE SKOOL</t>
  </si>
  <si>
    <t>DIAZ PRIMÊRE SKOOL</t>
  </si>
  <si>
    <t>DIAZVILLE HOËRSKOOL</t>
  </si>
  <si>
    <t>DIAZVILLE PRIMARY SCHOOL</t>
  </si>
  <si>
    <t>DIE BRON PRIMARY SCHOOL</t>
  </si>
  <si>
    <t>DIE DUINE PRIMARY SCHOOL</t>
  </si>
  <si>
    <t>DIE EIKE VGK PRIMÊRE SKOOL</t>
  </si>
  <si>
    <t>DIE HEUWEL SPEELSKOOL</t>
  </si>
  <si>
    <t>DIE VINKNES ACVV PREPRIMARY SCHOOL</t>
  </si>
  <si>
    <t>DIE WINGERD PREPRIMARY SCHOOL</t>
  </si>
  <si>
    <t>DIEPKLOOF VGK PRIMÊRE SKOOL</t>
  </si>
  <si>
    <t>DIEPRIVIER VGK PRIMÊRE SKOOL</t>
  </si>
  <si>
    <t>DIETRICH MOR PRIMÊRE SKOOL</t>
  </si>
  <si>
    <t>DIRK BOSHOFF PRIMÊRE SKOOL</t>
  </si>
  <si>
    <t>DIRKIE UYS HOËRSKOOL</t>
  </si>
  <si>
    <t>DIRKIE UYS LAERSKOOL</t>
  </si>
  <si>
    <t>DISA PRIMARY SCHOOL  (BONTEHEUWEL)</t>
  </si>
  <si>
    <t>DISA PRIMARY SCHOOL (HOUT BAY)</t>
  </si>
  <si>
    <t>DISNEYLAND EDUCARE</t>
  </si>
  <si>
    <t>DOLFYNTJIES BEWAARSKOOL</t>
  </si>
  <si>
    <t>DOMINIKAANSE SKOOL VIR DOWES</t>
  </si>
  <si>
    <t>DON BOSCO EDUCARE CENTRE</t>
  </si>
  <si>
    <t>DOODLE BUGS NURSERY</t>
  </si>
  <si>
    <t>DORA TOMANE PRESCHOOL</t>
  </si>
  <si>
    <t>DORCAS PRESCHOOL CENTRE</t>
  </si>
  <si>
    <t>DORINGBAAI PRIMÊRE SKOOL</t>
  </si>
  <si>
    <t>DOROTHEA SPESIALE SKOOL</t>
  </si>
  <si>
    <t>DOUGLAS ROAD PRIMARY SCHOOL</t>
  </si>
  <si>
    <t>DOWNEVILLE PRIMARY SCHOOL</t>
  </si>
  <si>
    <t>DR. G.J. JOUBERT PRIMÊRE SKOOL</t>
  </si>
  <si>
    <t>DR. NELSON R. MANDELA HIGH SCHOOL</t>
  </si>
  <si>
    <t>DR. VAN DER ROSS PRIMARY SCHOOL</t>
  </si>
  <si>
    <t>DRAKENSTEIN PRIMÊRE SKOOL</t>
  </si>
  <si>
    <t>DRIEFONTEIN NGK PRIMÊRE SKOOL</t>
  </si>
  <si>
    <t>DROSTDY HTS.</t>
  </si>
  <si>
    <t>DROSTDY SSKV PRIMÊRE SKOOL</t>
  </si>
  <si>
    <t>DRYDEN STREET PRIMARY SCHOOL</t>
  </si>
  <si>
    <t>DS DE WET SCHOOL FOR AUTISM</t>
  </si>
  <si>
    <t>DU NOON PRIMARY SCHOOL</t>
  </si>
  <si>
    <t>DUNATOS PRIVATE SCHOOL TRUST OPERATING AS DUNATOS</t>
  </si>
  <si>
    <t>DUNESIDE PRIMARY SCHOOL</t>
  </si>
  <si>
    <t>DURBANVILLE HOËRSKOOL</t>
  </si>
  <si>
    <t>DURBANVILLE PRIMARY SCHOOL</t>
  </si>
  <si>
    <t>DURBANVILLE VOORBEREIDINGSKOOL</t>
  </si>
  <si>
    <t>DYSSELSDORP PRIMÊRE SKOOL</t>
  </si>
  <si>
    <t>DYSSELSDORP SEKONDÊR</t>
  </si>
  <si>
    <t>E. A. JANARI PRIMARY SCHOOL</t>
  </si>
  <si>
    <t>E.J. MALGARTE PRIMÊRE SKOOL</t>
  </si>
  <si>
    <t>EAGLES NEST DAY CARE</t>
  </si>
  <si>
    <t>EAGLE'S NEST MINISTRIES, SA</t>
  </si>
  <si>
    <t>EARLY LEARNING CENTRE</t>
  </si>
  <si>
    <t>EARTHKIDO ONAFHANKLIKE SKOOL</t>
  </si>
  <si>
    <t>EASTER PEAK PRIMARY SCHOOL</t>
  </si>
  <si>
    <t>EASTRIDGE CHRISTIAN ACADEMY</t>
  </si>
  <si>
    <t>EASTVILLE PRIMARY SCHOOL</t>
  </si>
  <si>
    <t>EBEN DONGES HOËRSKOOL</t>
  </si>
  <si>
    <t>EBENEZER PREPRIMARY (MITCHELL'S PLAIN)</t>
  </si>
  <si>
    <t>EBENEZER PRIMARY SCHOOL</t>
  </si>
  <si>
    <t>EBENHAESER PRIMÊRE SKOOL</t>
  </si>
  <si>
    <t>ECOLTECH CC TRADING AS ECOLTECH</t>
  </si>
  <si>
    <t>EDEN AKADEMIE LEERSENTRUM</t>
  </si>
  <si>
    <t>EDEN PRIMARY SCHOOL</t>
  </si>
  <si>
    <t>EDEN SHINE CHRISTIAN SCHOOL</t>
  </si>
  <si>
    <t>EDEN SKOOL</t>
  </si>
  <si>
    <t>EDEN TECHNICAL HIGH SCHOOL</t>
  </si>
  <si>
    <t>EDENDALE PRIMÊRE SKOOL</t>
  </si>
  <si>
    <t>EDGEMEAD HIGH SCHOOL</t>
  </si>
  <si>
    <t>EDGEMEAD PREPRIMARY SCHOOLS ASSOCIATION</t>
  </si>
  <si>
    <t>EDGEMEAD PRIMARY SCHOOL</t>
  </si>
  <si>
    <t>EDISON CENTURY CITY HIGH SCHOOL</t>
  </si>
  <si>
    <t>EDUBLOX DURBANVILLE</t>
  </si>
  <si>
    <t>EDUCARE HOUSE PREPRIMARY SCHOOL</t>
  </si>
  <si>
    <t>EDUDEN</t>
  </si>
  <si>
    <t>EDUEXCELLENCE PRS - RONDEBOSCH</t>
  </si>
  <si>
    <t>EDU-PLAY EARLY LEARNING CENTRE</t>
  </si>
  <si>
    <t>EDUSMART ACADEMY</t>
  </si>
  <si>
    <t>EDWARD PRIMARY SCHOOL</t>
  </si>
  <si>
    <t>EENDEKUIL LAERSKOOL</t>
  </si>
  <si>
    <t>EENDEKUIL PRIMÊRE SKOOL</t>
  </si>
  <si>
    <t>EERSTERIVIER SEKONDÊR</t>
  </si>
  <si>
    <t>EIKENDAL PRIMARY SCHOOL</t>
  </si>
  <si>
    <t>EIKESTAD LAERSKOOL</t>
  </si>
  <si>
    <t>EILANDIA NGK PRIMÊRE SKOOL</t>
  </si>
  <si>
    <t>EINDHOVEN PRIMARY SCHOOL</t>
  </si>
  <si>
    <t>EINSTEIN AKADEMIE PAARL (PTY) LTD TRADING AS EINST</t>
  </si>
  <si>
    <t>EISLEBEN ROAD PRIMARY SCHOOL</t>
  </si>
  <si>
    <t>EKUKHANYISELWENI CHRISTIAN SCHOOL</t>
  </si>
  <si>
    <t>EKUTHULENI PRIMARY SCHOOL</t>
  </si>
  <si>
    <t>EL MARINE PRIMARY SCHOOL</t>
  </si>
  <si>
    <t>EL SHADDAI CHRISTIAN SCHOOL</t>
  </si>
  <si>
    <t>ELANDSFONTEIN NGK PRIMÊRE SKOOL</t>
  </si>
  <si>
    <t>ELANDSRIVIER NGK PRIMÊRE SKOOL</t>
  </si>
  <si>
    <t>ELDENE PRIMARY SCHOOL</t>
  </si>
  <si>
    <t>ELIM KLEUTERSKOOL</t>
  </si>
  <si>
    <t>ELIM MOR PRIMÊRE SKOOL</t>
  </si>
  <si>
    <t>ELIZABETHFONTEIN MOR PRIMÊRE SKOOL</t>
  </si>
  <si>
    <t>ELJADA-KAIROS SKOOL</t>
  </si>
  <si>
    <t>ELKANAH HOUSE</t>
  </si>
  <si>
    <t>ELLERTON PRIMARY SCHOOL</t>
  </si>
  <si>
    <t>ELNOR PRIMARY SCHOOL</t>
  </si>
  <si>
    <t>ELSBURY PRIMARY SCHOOL</t>
  </si>
  <si>
    <t>ELSIESRIVIER SEKONDÊR</t>
  </si>
  <si>
    <t>ELSWOOD PRIMÊRE SKOOL</t>
  </si>
  <si>
    <t>ELSWOOD SEKONDÊR</t>
  </si>
  <si>
    <t>ELUXOLWENI EDUCARE CENTRE (GRABOUW)</t>
  </si>
  <si>
    <t>ELUXOLWENI EDUCARE CENTRE (MOSSEL BAY)</t>
  </si>
  <si>
    <t>ELUXOLWENI PRIMARY SCHOOL</t>
  </si>
  <si>
    <t>EMIL WEDER SEKONDÊR</t>
  </si>
  <si>
    <t>EMITHINI PRIMARY SCHOOL</t>
  </si>
  <si>
    <t>EMMANUEL CHRISTIAN ACADEMY</t>
  </si>
  <si>
    <t>EMMANUEL EDUCARE CENTRE (WESTLAKE)</t>
  </si>
  <si>
    <t>EMYEZWENI NONFANELEKO PRESCHOOL</t>
  </si>
  <si>
    <t>ENCOTSHENI PRIMARY SCHOOL</t>
  </si>
  <si>
    <t>ENGELBRECHT NGK PRIMÊRE SKOOL</t>
  </si>
  <si>
    <t>ENKULULEKWENI PRIMARY SCHOOL</t>
  </si>
  <si>
    <t>ENTSHONA PRIMARY SCHOOL</t>
  </si>
  <si>
    <t>ERICA PRIMARY SCHOOL</t>
  </si>
  <si>
    <t>ERIKA PRIMARY SCHOOL</t>
  </si>
  <si>
    <t>EROSSKOOL</t>
  </si>
  <si>
    <t>ERRIE MOLLER NGK PRIMÊRE SKOOL</t>
  </si>
  <si>
    <t>ESANGWENI SECONDARY SCHOOL</t>
  </si>
  <si>
    <t>ESSELENPARK PRIMÊRE SKOOL</t>
  </si>
  <si>
    <t>ESSELENPARK SEKONDÊR</t>
  </si>
  <si>
    <t>ESSENHOUT PRIMARY SCHOOL</t>
  </si>
  <si>
    <t>ETAFENI DAY CARE CENTRE TRUST</t>
  </si>
  <si>
    <t>ETHEMBENI PREPRIMARY SCHOOL</t>
  </si>
  <si>
    <t>EURECON PRIMARY SCHOOL</t>
  </si>
  <si>
    <t>EUREKA PRIMÊRE SKOOL</t>
  </si>
  <si>
    <t>EVERGREEN SPECIALISED EDUCATION CENTRE</t>
  </si>
  <si>
    <t>EVERSDAL PREPRIMARY SCHOOL</t>
  </si>
  <si>
    <t>EVERSDAL PRIMARY SCHOOL</t>
  </si>
  <si>
    <t>EVE'S SHOE EDUCARE</t>
  </si>
  <si>
    <t>EVITA'S DARLINGS</t>
  </si>
  <si>
    <t>EVOLVE ACADEMY SOUTH AFRICA (PTY) LTD TRADING AS E</t>
  </si>
  <si>
    <t>EXCELSIOR PRIMARY SCHOOL (BELLVILLE)</t>
  </si>
  <si>
    <t>EXCELSIOR SEKONDÊR</t>
  </si>
  <si>
    <t>EXCELSIOR VGK PRIMÊRE SKOOL</t>
  </si>
  <si>
    <t>EXCLUSIVE KIDZ ACADEMY</t>
  </si>
  <si>
    <t>EZELFONTEIN NGK PRIMÊRE SKOOL</t>
  </si>
  <si>
    <t>F.D. CONRADIE LAERSKOOL</t>
  </si>
  <si>
    <t>F.J. CONRADIE PRIMÊRE SKOOL</t>
  </si>
  <si>
    <t>FACTRETON PRIMARY SCHOOL</t>
  </si>
  <si>
    <t>FAIRBAIRN COLLEGE</t>
  </si>
  <si>
    <t>FAIRDALE HIGH SCHOOL</t>
  </si>
  <si>
    <t>FAIRDALE NO.2 HIGH SCHOOL</t>
  </si>
  <si>
    <t>FAIRDALE PRIMARY SCHOOL</t>
  </si>
  <si>
    <t>FAIRFIELD NGK PRIMÊRE SKOOL</t>
  </si>
  <si>
    <t>FAIRMONT HIGH SCHOOL</t>
  </si>
  <si>
    <t>FAIRMOUNT SECONDARY SCHOOL</t>
  </si>
  <si>
    <t>FAIRVIEW PRIMARY SCHOOL</t>
  </si>
  <si>
    <t>FALSE BAY PRIMARY SCHOOL</t>
  </si>
  <si>
    <t>FANIE THERON PRIMARY SCHOOL</t>
  </si>
  <si>
    <t>FELLOWSHIP COLLEGE TRUST</t>
  </si>
  <si>
    <t>FERGUSON HOUSE PRIMARY SCHOOL</t>
  </si>
  <si>
    <t>FERNDALE PRIMARY SCHOOL</t>
  </si>
  <si>
    <t>FEZEKA SECONDARY SCHOOL</t>
  </si>
  <si>
    <t>FEZEKILE SECONDARY SCHOOL</t>
  </si>
  <si>
    <t>FILIA SKOOL</t>
  </si>
  <si>
    <t>FIRGROVE PRIMARY SCHOOL</t>
  </si>
  <si>
    <t>FIRST STEP EDUCARE</t>
  </si>
  <si>
    <t>FISANTEKRAAL HIGH SCHOOL</t>
  </si>
  <si>
    <t>FISANTEKRAAL PRIMARY SCHOOL</t>
  </si>
  <si>
    <t>FISH HOEK HIGH SCHOOL</t>
  </si>
  <si>
    <t>FISH HOEK PREPRIMARY SCHOOL</t>
  </si>
  <si>
    <t>FISH HOEK PRIMARY SCHOOL</t>
  </si>
  <si>
    <t>FISHERHAVEN ACADEMY</t>
  </si>
  <si>
    <t>FLOREAT PRIMARY SCHOOL</t>
  </si>
  <si>
    <t>FLORIDA SEKONDÊR</t>
  </si>
  <si>
    <t>FLORIDA VAARDIGHEIDSKOOL</t>
  </si>
  <si>
    <t>FOCUS COLLEGE - DISTRICT SIX</t>
  </si>
  <si>
    <t>FOCUS COLLEGE CASTLE TOWN</t>
  </si>
  <si>
    <t>FOREST HEIGHTS HOËRSKOOL</t>
  </si>
  <si>
    <t>FOREST HEIGHTS PRIMARY SCHOOL</t>
  </si>
  <si>
    <t>FOREST VILLAGE LEADERSHIP ACADEMY</t>
  </si>
  <si>
    <t>FORMOSA PRIMÊRE SKOOL</t>
  </si>
  <si>
    <t>FORRES PREPARATORY SCHOOL (PTY) LTD</t>
  </si>
  <si>
    <t>FRAAISIG PRIMARY SCHOOL</t>
  </si>
  <si>
    <t>FRANK PIETERSEN MUSIEKSENTRUM</t>
  </si>
  <si>
    <t>FRANKEN VGK PRIMÊRE SKOOL</t>
  </si>
  <si>
    <t>FRANSCHHOEK HOËRSKOOL</t>
  </si>
  <si>
    <t>FRANSIE DU TOIT NGK PRIMÊRE SKOOL</t>
  </si>
  <si>
    <t>FRIEMERSHEIM PRIMÊRE SKOOL</t>
  </si>
  <si>
    <t>FRIENDS PREPRIMARY AND EDUCARE CENTRE</t>
  </si>
  <si>
    <t>FUNDANI NATHI EDUCARE</t>
  </si>
  <si>
    <t>FUNIMFUNDO PREPRIMARY SCHOOL</t>
  </si>
  <si>
    <t>FUTURE'S ACADEMY</t>
  </si>
  <si>
    <t>FYNBOS ACADEMY</t>
  </si>
  <si>
    <t>G.B. BATT NGK PRIMÊRE SKOOL</t>
  </si>
  <si>
    <t>GAIA WALDORF SCHOOL</t>
  </si>
  <si>
    <t>GAMKA-OOS PRIMÊRE SKOOL</t>
  </si>
  <si>
    <t>GAN AVIV PREPRIMARY SCHOOL</t>
  </si>
  <si>
    <t>GANSBAAI ACADEMIA</t>
  </si>
  <si>
    <t>GANSBAAI LAERSKOOL</t>
  </si>
  <si>
    <t>GANSBAAI PRIMÊRE SKOOL</t>
  </si>
  <si>
    <t>GARDEN ROUTE HIGH SCHOOL</t>
  </si>
  <si>
    <t>GARDEN ROUTE PRIMARY SCHOOL</t>
  </si>
  <si>
    <t>GARDEN VILLAGE PRIMARY SCHOOL</t>
  </si>
  <si>
    <t>GARDENIA PRIMARY SCHOOL</t>
  </si>
  <si>
    <t>GARDENS COMMERCIAL HIGH SCHOOL</t>
  </si>
  <si>
    <t>GARLANDALE PRIMARY SCHOOL</t>
  </si>
  <si>
    <t>GARLANDALE SEKONDÊR</t>
  </si>
  <si>
    <t>GATEWAY CHILDREN'S CENTRE</t>
  </si>
  <si>
    <t>GATEWAY HIGH SCHOOL</t>
  </si>
  <si>
    <t>GATEWAY PRIMARY SCHOOL</t>
  </si>
  <si>
    <t>GEELHOUTBOOM VGK PRIMÊRE SKOOL</t>
  </si>
  <si>
    <t>GELUKSHOOP NGK PRIMÊRE SKOOL</t>
  </si>
  <si>
    <t>GENE LOUW PRIMARY SCHOOL</t>
  </si>
  <si>
    <t>GENERATION SCHOOL</t>
  </si>
  <si>
    <t>GENERATION SCHOOL - HERMANUS</t>
  </si>
  <si>
    <t>GENERATION SCHOOL - MELKBOS</t>
  </si>
  <si>
    <t>GENERATION SCHOOLS - IMHOFF</t>
  </si>
  <si>
    <t>GENERATION SCHOOLS SOMERSET WEST</t>
  </si>
  <si>
    <t>GEORGE FREDERICKS PRIMÊRE SKOOL</t>
  </si>
  <si>
    <t>GEORGE ROYAL ACADEMY</t>
  </si>
  <si>
    <t>GEORGE SEKONDÊR</t>
  </si>
  <si>
    <t>GEORGE VOORBEREIDINGSKOOL</t>
  </si>
  <si>
    <t>GEORGE-SUID LAERSKOOL</t>
  </si>
  <si>
    <t>GERICKE LAERSKOOL</t>
  </si>
  <si>
    <t>GERMAN ST. MARTINI PREPRIMARY SCHOOL</t>
  </si>
  <si>
    <t>GERRIT DU PLESSIS SEKONDÊR</t>
  </si>
  <si>
    <t>GIHON CHRISTIAN SCHOOL</t>
  </si>
  <si>
    <t>GIMNASIUM PRIMÊRE SKOOL</t>
  </si>
  <si>
    <t>GLEN ELGIN MOR PRIMÊRE SKOOL</t>
  </si>
  <si>
    <t>GLEN HEATLIE AME PRIMÊRE SKOOL</t>
  </si>
  <si>
    <t>GLENBRIDGE SPECIAL SCHOOL</t>
  </si>
  <si>
    <t>GLENDALE SECONDARY SCHOOL</t>
  </si>
  <si>
    <t>GLENWOOD HOUSE</t>
  </si>
  <si>
    <t>GLOBAL ACADEMY OF EDUCATION NPC</t>
  </si>
  <si>
    <t>GLOBAL ACADEMY OF EDUCATION NPC HIGH SCHOOL</t>
  </si>
  <si>
    <t>GLORIA BOTHA SCHOOL STRAND</t>
  </si>
  <si>
    <t>GOEDEHOOP PRIMÊRE SKOOL</t>
  </si>
  <si>
    <t>GOEDGEGUN VGK PRIMÊRE SKOOL</t>
  </si>
  <si>
    <t>GOEDVERWACHT MOR PRIMÊRE SKOOL</t>
  </si>
  <si>
    <t>GOEIE HOOP PRIMÊRE SKOOL</t>
  </si>
  <si>
    <t>GOLDEN GROVE PRIMARY SCHOOL</t>
  </si>
  <si>
    <t>GOOD HOPE HIGH SCHOOL</t>
  </si>
  <si>
    <t>GOOD HOPE PRIMARY SCHOOL</t>
  </si>
  <si>
    <t>GOOD HOPE SEMINARY HIGH SCHOOL</t>
  </si>
  <si>
    <t>GOOD HOPE SEMINARY JUNIOR</t>
  </si>
  <si>
    <t>GOODWOOD KOLLEGE</t>
  </si>
  <si>
    <t>GOODWOOD PARK PREPRIMARY SCHOOL</t>
  </si>
  <si>
    <t>GOODWOOD PARK PRIMARY SCHOOL</t>
  </si>
  <si>
    <t>GORDON SEKONDÊR</t>
  </si>
  <si>
    <t>GORDON'S BAY COLLEGE</t>
  </si>
  <si>
    <t>GORDONSBAAI LAERSKOOL</t>
  </si>
  <si>
    <t>GOSPEL OUTREACH MINISTRIES EDUCARE</t>
  </si>
  <si>
    <t>GOUDINI BAD NGK PRIMÊRE SKOOL</t>
  </si>
  <si>
    <t>GOUDINI HOËRSKOOL</t>
  </si>
  <si>
    <t>GOUE VLOKKIES BEWAARSKOOL</t>
  </si>
  <si>
    <t>GRAAFWATER PRIMÊRE SKOOL</t>
  </si>
  <si>
    <t>GRAAFWATER SPECIAL SCHOOL</t>
  </si>
  <si>
    <t>GRABOUW HOËRSKOOL</t>
  </si>
  <si>
    <t>GRACE PREP</t>
  </si>
  <si>
    <t>GRACE PRIMARY SCHOOL</t>
  </si>
  <si>
    <t>GRACEHILL COLLEGE</t>
  </si>
  <si>
    <t>GRASSDALE HOËRSKOOL</t>
  </si>
  <si>
    <t>GRASSROOTS PREPARATORY</t>
  </si>
  <si>
    <t>GRASSY PARK EC PRIMARY SCHOOL</t>
  </si>
  <si>
    <t>GRASSY PARK SECONDARY SCHOOL</t>
  </si>
  <si>
    <t>GRATITUDE CATHOLIC PREPRIMARY SCHOOL</t>
  </si>
  <si>
    <t>GREEN CURTAINS EDUCARE</t>
  </si>
  <si>
    <t>GREEN SCHOOL SOUTH AFRICA</t>
  </si>
  <si>
    <t>GREENFIELD GIRLS' PRIMARY SCHOOL</t>
  </si>
  <si>
    <t>GREENLANDS PRIMARY SCHOOL</t>
  </si>
  <si>
    <t>GREENS'COOL EARLY LEARNING CENTRE</t>
  </si>
  <si>
    <t>GREENWOOD BAY COLLEGE</t>
  </si>
  <si>
    <t>GREYTON HOUSE INDEPENDENT VILLAGE SCHOOL</t>
  </si>
  <si>
    <t>GREYTON PRIMÊRE SKOOL</t>
  </si>
  <si>
    <t>GROENBERG NGK PRIMÊRE SKOOL</t>
  </si>
  <si>
    <t>GROENBERG SEKONDÊR</t>
  </si>
  <si>
    <t>GROENDAL PRIMÊRE SKOOL</t>
  </si>
  <si>
    <t>GROENDAL SEKONDÊR</t>
  </si>
  <si>
    <t>GROENHEUWEL PRIMARY SCHOOL</t>
  </si>
  <si>
    <t>GROENVLEI PRIMÊRE SKOOL</t>
  </si>
  <si>
    <t>GROENVLEI SECONDARY SCHOOL</t>
  </si>
  <si>
    <t>GROOT BRAKRIVIER PRIMÊRE SKOOL</t>
  </si>
  <si>
    <t>GROOT-BRAKRIVIER SEKONDÊRE SKOOL</t>
  </si>
  <si>
    <t>GROOTE SCHUUR HIGH SCHOOL</t>
  </si>
  <si>
    <t>GROOTE SCHUUR HOSPITAAL SKOOL</t>
  </si>
  <si>
    <t>GROOTE SCHUUR PRIMARY SCHOOL</t>
  </si>
  <si>
    <t>GROOTKLOOF PRIMÊRE SKOOL</t>
  </si>
  <si>
    <t>GROOTKRAAL UCC PRIMÊRE SKOOL</t>
  </si>
  <si>
    <t>GROSVENOR PRIMÊRE SKOOL</t>
  </si>
  <si>
    <t>GROVE PRIMARY SCHOOL</t>
  </si>
  <si>
    <t>GROWING MINDS LEARNING AND THERAPY CENTRE</t>
  </si>
  <si>
    <t>H. VENTER PRIMÊRE SKOOL</t>
  </si>
  <si>
    <t>H.F VAN CUTSEM HIGH SCHOOL</t>
  </si>
  <si>
    <t>H.J. KRONEBERG JUNIOR PRIMARY SCHOOL</t>
  </si>
  <si>
    <t>H.M. BEETS PRIMÊRE SKOOL</t>
  </si>
  <si>
    <t>H.M. DLIKIDLA PRIMARY SCHOOL</t>
  </si>
  <si>
    <t>H.P. WILLIAMS LAERSKOOL</t>
  </si>
  <si>
    <t>HAARLEM SEKONDÊRE SKOOL</t>
  </si>
  <si>
    <t>HAASBEKKIES KLEUTERKLUB</t>
  </si>
  <si>
    <t>HABIBIA JUNIOR MADRESSA (PREPRIMARY)</t>
  </si>
  <si>
    <t>HABIBIA PRIMARY SCHOOL</t>
  </si>
  <si>
    <t>HANGBERG PREPRIMARY SCHOOL</t>
  </si>
  <si>
    <t>HAPPY DAYS KINDERGARDEN SCHOOL</t>
  </si>
  <si>
    <t>HAPPY DAYS PREPRIMARY SCHOOL</t>
  </si>
  <si>
    <t>HAPPY FACES PLAY SCHOOL</t>
  </si>
  <si>
    <t>HAPPY FEET LEARNING CENTRE</t>
  </si>
  <si>
    <t>HAPPY PIKININIS EDUCARE</t>
  </si>
  <si>
    <t>HAPPY VALLEY NO.2 PRIMARY SCHOOL</t>
  </si>
  <si>
    <t>HAPPY VALLEY PRIMARY SCHOOL</t>
  </si>
  <si>
    <t>HARFIELD PREPRIMARY SCHOOL</t>
  </si>
  <si>
    <t>HARKERVILLE EK PRIMÊRE SKOOL</t>
  </si>
  <si>
    <t>HARMONY PRIMARY SCHOOL</t>
  </si>
  <si>
    <t>HAROLD CRESSY HIGH SCHOOL</t>
  </si>
  <si>
    <t>HARRY GWALA SECONDARY SCHOOL</t>
  </si>
  <si>
    <t>HARTENBOS LAERSKOOL</t>
  </si>
  <si>
    <t>HARVESTER PRIMARY SCHOOL</t>
  </si>
  <si>
    <t>HAWSTON PRIMÊRE SKOOL</t>
  </si>
  <si>
    <t>HAWSTON SEKONDÊR</t>
  </si>
  <si>
    <t>HAZELDENE PRIMARY SCHOOL</t>
  </si>
  <si>
    <t>HAZENDAL PRIMARY SCHOOL</t>
  </si>
  <si>
    <t>HEATHERDALE PRIMARY SCHOOL</t>
  </si>
  <si>
    <t>HEATHERLANDS HIGH SCHOOL</t>
  </si>
  <si>
    <t>HEATHFIELD HIGH SCHOOL</t>
  </si>
  <si>
    <t>HEATHFIELD PREPRIMARY SCHOOL</t>
  </si>
  <si>
    <t>HEATHFIELD PRIMARY SCHOOL</t>
  </si>
  <si>
    <t>HEBRON CHRISTENSKOOL</t>
  </si>
  <si>
    <t>HEBRON CHRISTIAN ACADEMY</t>
  </si>
  <si>
    <t>HECTOR PETERSON SECONDARY SCHOOL</t>
  </si>
  <si>
    <t>HEELTYD SPEELTYD KLEUTERSKOOL</t>
  </si>
  <si>
    <t>HEIDEDAL PRIMÊRE SKOOL</t>
  </si>
  <si>
    <t>HEIDELBERG CHRISTIAN SCHOOL</t>
  </si>
  <si>
    <t>HEIDELBERG HOËRSKOOL</t>
  </si>
  <si>
    <t>HEIDEVELD PRIMARY SCHOOL</t>
  </si>
  <si>
    <t>HEIDEVELD SEKONDÊR</t>
  </si>
  <si>
    <t>HEINZ PARK PRIMARY SCHOOL</t>
  </si>
  <si>
    <t>HELDERBERG HIGH SCHOOL</t>
  </si>
  <si>
    <t>HELDERBERG KIDS</t>
  </si>
  <si>
    <t>HELDERBERG LAERSKOOL</t>
  </si>
  <si>
    <t>HELDERBERG PRIMARY SCHOOL</t>
  </si>
  <si>
    <t>HELDERKRUIN PRIMARY SCHOOL</t>
  </si>
  <si>
    <t>HENDRIK LOUW LAERSKOOL</t>
  </si>
  <si>
    <t>HERBERT STREET SPECIAL SCHOOL</t>
  </si>
  <si>
    <t>HERBERTSDALE LAERSKOOL</t>
  </si>
  <si>
    <t>HERITAGE HOUSE INDEPENDENT SCHOOL</t>
  </si>
  <si>
    <t>HERMANUS COUNTRY KIDS</t>
  </si>
  <si>
    <t>HERMANUS HOËRSKOOL</t>
  </si>
  <si>
    <t>HERMANUS PRIMARY SCHOOL</t>
  </si>
  <si>
    <t>HERMANUS WALDORF SCHOOL</t>
  </si>
  <si>
    <t>HERMESLAAN PRIMARY SCHOOL</t>
  </si>
  <si>
    <t>HEROLD LAERSKOOL</t>
  </si>
  <si>
    <t>HERSCHEL GIRLS SCHOOL</t>
  </si>
  <si>
    <t>HERZLIA HIGH SCHOOL</t>
  </si>
  <si>
    <t>HERZLIA HIGHLANDS PRIMARY SCHOOL</t>
  </si>
  <si>
    <t>HERZLIA WEIZMANN PRIMARY SCHOOL</t>
  </si>
  <si>
    <t>HEXPARK PRIMÊRE SKOOL</t>
  </si>
  <si>
    <t>HEXRIVIER NGK PRIMÊRE SKOOL</t>
  </si>
  <si>
    <t>HEXRIVIER OPVOEDKUNDIGE SENTRUM</t>
  </si>
  <si>
    <t>HEXVALLEI HOËRSKOOL</t>
  </si>
  <si>
    <t>HEXVALLEI SEKONDÊR</t>
  </si>
  <si>
    <t>HIBERNIA VGK PRIMÊRE SKOOL</t>
  </si>
  <si>
    <t>HIDAYATUL ISLAM COLLEGE</t>
  </si>
  <si>
    <t>HIGHBURY PRIMARY SCHOOL</t>
  </si>
  <si>
    <t>HIGHLANDS PRIMARY SCHOOL</t>
  </si>
  <si>
    <t>HILLCREST PRIMÊRE SKOOL</t>
  </si>
  <si>
    <t>HILLCREST SCHOOL</t>
  </si>
  <si>
    <t>HILLCREST SEKONDÊR</t>
  </si>
  <si>
    <t>HILLSIDE PRIMARY SCHOOL (M/PLAIN)</t>
  </si>
  <si>
    <t>HILLSIDE PRIMÊRE SKOOL</t>
  </si>
  <si>
    <t>HILLVIEW ACADEMY (PTY) LTD TRADING AS HILLVIEW ACA</t>
  </si>
  <si>
    <t>HILLWOOD PRIMARY SCHOOL</t>
  </si>
  <si>
    <t>HINDLE HIGH SCHOOL</t>
  </si>
  <si>
    <t>HINDLE ROAD WEST PRIMARY SCHOOL</t>
  </si>
  <si>
    <t>HLENGISA PRIMARY SCHOOL</t>
  </si>
  <si>
    <t>HOEKO VGK PRIMÊRE SKOOL</t>
  </si>
  <si>
    <t>HOEKWIL LAERSKOOL</t>
  </si>
  <si>
    <t>HOËR JONGENSKOOL PAARL</t>
  </si>
  <si>
    <t>HOËRSKOOL GIMNASIUM PAARL</t>
  </si>
  <si>
    <t>HOLVLEI PRIMÊRE SKOOL</t>
  </si>
  <si>
    <t>HOLY CROSS CONVENT (BROOKLYN)</t>
  </si>
  <si>
    <t>HOLY CROSS HIGH SCHOOL (MAITLAND)</t>
  </si>
  <si>
    <t>HOLY CROSS PRIMARY SCHOOL  (GEORGE)</t>
  </si>
  <si>
    <t>HOLY CROSS RC PRIMARY SCHOOL</t>
  </si>
  <si>
    <t>HOLY CROSS SISTERS' SCHOOL (B)</t>
  </si>
  <si>
    <t>HOMBA PRIMARY SCHOOL</t>
  </si>
  <si>
    <t>HOOFWEG PRIMARY SCHOOL</t>
  </si>
  <si>
    <t>HOOGEKRAAL SSKV PRIMÊRE SKOOL</t>
  </si>
  <si>
    <t>HOPE AND LIGHT COMMUNITY WELFARE (NPC) TRADING AS</t>
  </si>
  <si>
    <t>HOPEFIELD HOËRSKOOL</t>
  </si>
  <si>
    <t>HOPEFIELD PRIMÊRE SKOOL</t>
  </si>
  <si>
    <t>HOPOLANG PRIMARY SCHOOL</t>
  </si>
  <si>
    <t>HORNLEE PRIMÊRE SKOOL</t>
  </si>
  <si>
    <t>HOTTENTOTS-HOLLAND HOËRSKOOL</t>
  </si>
  <si>
    <t>HOUT BAY PRIMARY SCHOOL</t>
  </si>
  <si>
    <t>HOUTBAAI SEKONDÊR</t>
  </si>
  <si>
    <t>HOUTBAY EDUCARE CENTRE</t>
  </si>
  <si>
    <t>HUGENOTE HOËRSKOOL</t>
  </si>
  <si>
    <t>HUGENOTE PRIMARY SCHOOL</t>
  </si>
  <si>
    <t>HUGO LAMBRECHTS MUSIEKSENTRUM</t>
  </si>
  <si>
    <t>HUGO NAUDE KUNSSENTRUM</t>
  </si>
  <si>
    <t>HUGO RUST LAERSKOOL</t>
  </si>
  <si>
    <t>HUGUENOOT VGK PRIMÊRE SKOOL</t>
  </si>
  <si>
    <t>HUGUENOT PRIMARY SCHOOL</t>
  </si>
  <si>
    <t>HUSAMI EDUCARE</t>
  </si>
  <si>
    <t>HUSSELAND PREPRIMARY SCHOOL</t>
  </si>
  <si>
    <t>HYACINTH PRIMARY SCHOOL</t>
  </si>
  <si>
    <t>HYDE PARK COLLEGE</t>
  </si>
  <si>
    <t>HYDE PARK PRIMARY SCHOOL</t>
  </si>
  <si>
    <t>I. D. MKIZE SEN SECONDARY</t>
  </si>
  <si>
    <t>IDASVALLEI PRIMARY SCHOOL</t>
  </si>
  <si>
    <t>IEGLAASI NIEYAH SCHOOL</t>
  </si>
  <si>
    <t>IENKEL DIENKEL PREPRIMARY SCHOOL</t>
  </si>
  <si>
    <t>IES INTERNATIONAL HELDEBERG SCHOOL (PTY) LTD</t>
  </si>
  <si>
    <t>IHLUMELO JUNIOR SECONDARY SCHOOL</t>
  </si>
  <si>
    <t>IINGCINGA ZETHU SECONDARY SCHOOL</t>
  </si>
  <si>
    <t>IKAMVALETHU EDUCARE</t>
  </si>
  <si>
    <t>IKAMVALETHU SECONDARY SCHOOL</t>
  </si>
  <si>
    <t>IKAYA PRIMARY SCHOOL</t>
  </si>
  <si>
    <t>IKHAYA LABANTWANA PREPRIMARY SCHOOL</t>
  </si>
  <si>
    <t>IKHUSI PRIMARY SCHOOL</t>
  </si>
  <si>
    <t>IKHWEZI LESIZWE PRIMARY SCHOOL</t>
  </si>
  <si>
    <t>IKWEZI EDUCARE</t>
  </si>
  <si>
    <t>ILINGELETHU SECONDARY SCHOOL</t>
  </si>
  <si>
    <t>IMBASA PRIMARY SCHOOL</t>
  </si>
  <si>
    <t>IMBONISELO PRIMARY SCHOOL</t>
  </si>
  <si>
    <t>IMEKHAYA PRIMARY SCHOOL</t>
  </si>
  <si>
    <t>IMHOFF WALDORF PRIMARY SCHOOL</t>
  </si>
  <si>
    <t>IMIZAMO YETHU EDUCARE</t>
  </si>
  <si>
    <t>IMIZAMO YETHU PREPRIM</t>
  </si>
  <si>
    <t>IMIZAMO YETHU SECONDARY SCHOOL</t>
  </si>
  <si>
    <t>IMMACULATA (R.C) GIRL'S HIGH SCHOOL</t>
  </si>
  <si>
    <t>IMPENDULO PUBLIC PRIMARY SCHOOL</t>
  </si>
  <si>
    <t>IMPERIAL PRIMARY SCHOOL</t>
  </si>
  <si>
    <t>IMVUMELWANO PRIMARY SCHOOL</t>
  </si>
  <si>
    <t>INDWE SECONDARY SCHOOL</t>
  </si>
  <si>
    <t>INGOMSO LETHU PRIMARY SCHOOL</t>
  </si>
  <si>
    <t>INJONGO PRIMARY SCHOOL</t>
  </si>
  <si>
    <t>INKANINI PRIMARY SCHOOL</t>
  </si>
  <si>
    <t>INKWENKWEZI SECONDARY SCHOOL</t>
  </si>
  <si>
    <t>INNPACT INSTITUTE NPC TRADING AS FAMILY TREE LEADE</t>
  </si>
  <si>
    <t>INTERNATIONAL MAARIF SCHOOL</t>
  </si>
  <si>
    <t>INTERNATIONAL SCHOOL CAPE TOWN</t>
  </si>
  <si>
    <t>INTERNATIONAL SCHOOL OF HOUT BAY</t>
  </si>
  <si>
    <t>INTLANGANISO SECONDARY SCHOOL</t>
  </si>
  <si>
    <t>INTSEBENZISWANO SECONDARY SCHOOL</t>
  </si>
  <si>
    <t>INTSHAYELELO PRIMARY SCHOOL</t>
  </si>
  <si>
    <t>INTSHINGA PRIMARY SCHOOL</t>
  </si>
  <si>
    <t>INTSHUKUMO SECONDARY SCHOOL</t>
  </si>
  <si>
    <t>INZAME ZETHU EDUCARE</t>
  </si>
  <si>
    <t>IQHAYIYA SECONDARY SCHOOL</t>
  </si>
  <si>
    <t>IRENA COETZEE PRE-PRIMÊRE SKOOL</t>
  </si>
  <si>
    <t>IRISTA PRIMARY SCHOOL</t>
  </si>
  <si>
    <t>ISALATHISO PRIMARY SCHOOL</t>
  </si>
  <si>
    <t>ISHRAAQ EDUCARE CENTRE</t>
  </si>
  <si>
    <t>ISIKHOKELO PRIMARY SCHOOL</t>
  </si>
  <si>
    <t>ISILIMELA SECONDARY SCHOOL</t>
  </si>
  <si>
    <t>ISIPHIWO PRIMARY SCHOOL</t>
  </si>
  <si>
    <t>ISLAMIA COLLEGE</t>
  </si>
  <si>
    <t>ISLAMIC EARLY LEARNING FOUNDATION TRADING NAME SHE</t>
  </si>
  <si>
    <t>ITHEMBA FISH HOEK SCHOOL</t>
  </si>
  <si>
    <t>ITHEMBA LABANTU LUTHERAN COMMUNITY CENTRE</t>
  </si>
  <si>
    <t>ITHEMBA LABANTU PRIMARY SCHOOL</t>
  </si>
  <si>
    <t>ITHEMBA PREPRIMARY SCHOOL</t>
  </si>
  <si>
    <t>ITHEMBA PRIMARY SCHOOL</t>
  </si>
  <si>
    <t>ITHEMBANI EDUCARE CENTRE</t>
  </si>
  <si>
    <t>ITSITSA PRIMARY SCHOOL</t>
  </si>
  <si>
    <t>J.G. MEIRING HOËRSKOOL</t>
  </si>
  <si>
    <t>J.J. RHODE PRIMÊRE SKOOL</t>
  </si>
  <si>
    <t>J.S. KLOPPER PRIMARY SCHOOL</t>
  </si>
  <si>
    <t>JAKES GERWEL TECHNICAL SCHOOL</t>
  </si>
  <si>
    <t>JAMAICAWEG PRIMARY SCHOOL</t>
  </si>
  <si>
    <t>JAN KRIEL-SKOOL</t>
  </si>
  <si>
    <t>JAN VAN RIEBEECK HOËRSKOOL</t>
  </si>
  <si>
    <t>JAN VAN RIEBEECK PRIMÊRE SKOOL</t>
  </si>
  <si>
    <t>JEQ PREPARATORY SCHOOL</t>
  </si>
  <si>
    <t>JIREH EDUCARE</t>
  </si>
  <si>
    <t>JOE SIMON PREPRIMARY SCHOOL</t>
  </si>
  <si>
    <t>JOE SLOVO SECONDARY SCHOOL</t>
  </si>
  <si>
    <t>JOHN D CRAWFORD PRIMÊRE SKOOL</t>
  </si>
  <si>
    <t>JOHN GRAHAM PRIMARY SCHOOL</t>
  </si>
  <si>
    <t>JOHN PAMA PRIMARY SCHOOL</t>
  </si>
  <si>
    <t>JOHN RAMSAY HOËRSKOOL</t>
  </si>
  <si>
    <t>JONGA STREET SECONDARY SCHOOL</t>
  </si>
  <si>
    <t>JONGENSKLIP PRIMÊRE SKOOL</t>
  </si>
  <si>
    <t>JOOSTENBERG SSKV PRIMÊRE SKOOL</t>
  </si>
  <si>
    <t>JUBILEE MONTESSORI ACADEMY</t>
  </si>
  <si>
    <t>JUNIOR CAMPUS PRIVATE SCHOOL</t>
  </si>
  <si>
    <t>JUNIOR COLLEGE</t>
  </si>
  <si>
    <t>JUPITER STREET PRIMARY SCHOOL</t>
  </si>
  <si>
    <t>JURIE HAYES PRIMARY SCHOOL</t>
  </si>
  <si>
    <t>KABOUTERLAND (GRABOUW) PRE-PRIMÊRE SKOOL</t>
  </si>
  <si>
    <t>KAIROS PRIMARY SCHOOL</t>
  </si>
  <si>
    <t>KAIROS SEKONDÊR</t>
  </si>
  <si>
    <t>KALK BAY TODDLERS CLUB</t>
  </si>
  <si>
    <t>KALKFONTEIN PRIMARY SCHOOL</t>
  </si>
  <si>
    <t>KALKSTEENFONTEIN PRIMÊRE SKOOL</t>
  </si>
  <si>
    <t>KAMVA EDUCARE CENTRE</t>
  </si>
  <si>
    <t>KANNEMEYER PRIMARY SCHOOL</t>
  </si>
  <si>
    <t>KARATARA LAERSKOOL</t>
  </si>
  <si>
    <t>KARITAS SKOOL</t>
  </si>
  <si>
    <t>KAROOKOP PRIMÊRE SKOOL</t>
  </si>
  <si>
    <t>KASSELSVLEI KOMPREHENSIEWE HOËRSKOOL</t>
  </si>
  <si>
    <t>KASSELSVLEI PRIMARY SCHOOL</t>
  </si>
  <si>
    <t>KATHLEEN MURRAY PRIMÊRE SKOOL</t>
  </si>
  <si>
    <t>KATRYNTJIE PRESCHOOL</t>
  </si>
  <si>
    <t>KAYAMANDI PRIMARY SCHOOL</t>
  </si>
  <si>
    <t>KAYAMANDI SECONDARY SCHOOL</t>
  </si>
  <si>
    <t>KEC ACADEMY HIGH SCHOOL</t>
  </si>
  <si>
    <t>KEC ACADEMY PRIMARY SCHOOL</t>
  </si>
  <si>
    <t>KEEROM SSKV PRIMÊRE SKOOL</t>
  </si>
  <si>
    <t>KEISIE VGK PRIMÊRE SKOOL</t>
  </si>
  <si>
    <t>KENMERE PRIMARY SCHOOL</t>
  </si>
  <si>
    <t>KENRIDGE PREPRIMARY SCHOOL</t>
  </si>
  <si>
    <t>KENRIDGE PRIMARY SCHOOL</t>
  </si>
  <si>
    <t>KENSINGTON SECONDARY SCHOOL</t>
  </si>
  <si>
    <t>KENSIO HOUSE THERAPEUTIC ACADEMY</t>
  </si>
  <si>
    <t>KENWYN PREPRIMARY</t>
  </si>
  <si>
    <t>KENWYN PRIMARY SCHOOL</t>
  </si>
  <si>
    <t>KEREM PREPRIMARY SCHOOL</t>
  </si>
  <si>
    <t>KERRIA PRIMARY SCHOOL</t>
  </si>
  <si>
    <t>KERSBOSLAAGTE SSKV PRIMÊRE SKOOL</t>
  </si>
  <si>
    <t>KEURBOOM NURSERY SCHOOL</t>
  </si>
  <si>
    <t>KEURBOSCH SCHOOL</t>
  </si>
  <si>
    <t>KEWTOWN PRIMARY SCHOOL</t>
  </si>
  <si>
    <t>KHANYA PRIMARY SCHOOL</t>
  </si>
  <si>
    <t>KHANYISA II EDUCARE CENTRE</t>
  </si>
  <si>
    <t>KHANYISA SCHOOL</t>
  </si>
  <si>
    <t>KHANYOLWETHU SECONDARY SCHOOL</t>
  </si>
  <si>
    <t>KHAYELITSHA CHRISTIAN ACADEMY</t>
  </si>
  <si>
    <t>KHAYELITSHA LSEN SCHOOL</t>
  </si>
  <si>
    <t>KHULULEKA PREPRIMARY SCHOOL</t>
  </si>
  <si>
    <t>KHUMBULANI DAYCARE</t>
  </si>
  <si>
    <t>KIDDZ BUZZ EDUCARE</t>
  </si>
  <si>
    <t>KIDS @ HOME EARLY LEARNING CENTRE</t>
  </si>
  <si>
    <t>KIDS ACADEMY SSW &amp; K-ACADEMY LEARNING CENTRE</t>
  </si>
  <si>
    <t>KIDS COMPANY</t>
  </si>
  <si>
    <t>KIDS CORNER</t>
  </si>
  <si>
    <t>KIDS COVE GORDON'S BAY</t>
  </si>
  <si>
    <t>KIDS KINGDOM PRE AND PRIMARY SCHOOL</t>
  </si>
  <si>
    <t>KID'S KINGDOM PRESCHOOL</t>
  </si>
  <si>
    <t>KIEKEBOE PRIMARY</t>
  </si>
  <si>
    <t>KILDARE PREPRIMARY SCHOOL</t>
  </si>
  <si>
    <t>KILIMANJARO HIGH SCHOOL</t>
  </si>
  <si>
    <t>KING’S COLLEGE AT OUTENIQUASBOSCH HIGH SCHOOL</t>
  </si>
  <si>
    <t>KINGS AND QUEENS</t>
  </si>
  <si>
    <t>KINGS AND QUEENS EDUCARE</t>
  </si>
  <si>
    <t>KING'S COLLEGE AT OUTENIQUASBOSCH</t>
  </si>
  <si>
    <t>KING'S SCHOOL</t>
  </si>
  <si>
    <t>KINGSLEY PRIVATE SCHOOL</t>
  </si>
  <si>
    <t>KINGSWAY SCHOOL NPC TRADING AS KINGSWAY CHRISTIAN</t>
  </si>
  <si>
    <t>KIRSTENHOF PRIMARY SCHOOL</t>
  </si>
  <si>
    <t>KLAARSTROOM PRIMÊRE SKOOL</t>
  </si>
  <si>
    <t>KLAASVOOGDS PRIMÊRE SKOOL</t>
  </si>
  <si>
    <t>KLAPMUTS HIGH SCHOOL</t>
  </si>
  <si>
    <t>KLAPMUTS HILL PRIMARY SCHOOL</t>
  </si>
  <si>
    <t>KLAPMUTS PRIMÊRE SKOOL</t>
  </si>
  <si>
    <t>KLAWER LAERSKOOL</t>
  </si>
  <si>
    <t>KLAWERVLEI PRIMÊRE SKOOL</t>
  </si>
  <si>
    <t>KLEIN NEDERBURG SEKONDÊR</t>
  </si>
  <si>
    <t>KLEIN PHISANTEKRAAL PREPRIMARY SCHOOL</t>
  </si>
  <si>
    <t>KLEIN TYGERDAL PREPRIMARY SCHOOL</t>
  </si>
  <si>
    <t>KLEINBEGIN PRE-PRIMÊRE SKOOL</t>
  </si>
  <si>
    <t>KLEINBERG PRIMARY SCHOOL</t>
  </si>
  <si>
    <t>KLEINFONTEIN PRIMÊRE SKOOL</t>
  </si>
  <si>
    <t>KLEINKARNMELKVLEI NGK PRIMÊRE SKOOL</t>
  </si>
  <si>
    <t>KLEINMOND LAERSKOOL</t>
  </si>
  <si>
    <t>KLEINMOND PRIMARY SCHOOL</t>
  </si>
  <si>
    <t>KLEINRIVIER VGK LAERSKOOL</t>
  </si>
  <si>
    <t>KLEINVLEI SEKONDÊR</t>
  </si>
  <si>
    <t>KLEUTERLAND PREPRIMARY SCHOOL</t>
  </si>
  <si>
    <t>KLEUTERLAND PREPRIMARY SCHOOL (BFW)</t>
  </si>
  <si>
    <t>KLIPDALE EK PRIMÊRE SKOOL</t>
  </si>
  <si>
    <t>KLIPDRIFT EK PRIMÊRE SKOOL</t>
  </si>
  <si>
    <t>KLIPFONTEIN MET PRIMÊRE SKOOL</t>
  </si>
  <si>
    <t>KLIPFONTEIN PRIMÊRE SKOOL</t>
  </si>
  <si>
    <t>KLIPHEUWEL PRIMÊRE SKOOL</t>
  </si>
  <si>
    <t>KLIPPIE KIDS PRE-PRIMÊRE SKOOL</t>
  </si>
  <si>
    <t>KLOUTER KABOUTER KLEUTERSKOOL</t>
  </si>
  <si>
    <t>KLOUTERWOUTER KLEUTERSKOOL</t>
  </si>
  <si>
    <t>KLUITJIESKRAAL NGK PRIMÊRE SKOOL</t>
  </si>
  <si>
    <t>KNYSNA HOËRSKOOL</t>
  </si>
  <si>
    <t>KNYSNA MONTESSORI SCHOOL</t>
  </si>
  <si>
    <t>KNYSNA PRIMARY SCHOOL</t>
  </si>
  <si>
    <t>KNYSNA SEKONDÊR</t>
  </si>
  <si>
    <t>KOEBERG HIGH SCHOOL</t>
  </si>
  <si>
    <t>KOEBERG PRIMARY SCHOOL</t>
  </si>
  <si>
    <t>KOEKENAAP VGK PRIMÊRE SKOOL</t>
  </si>
  <si>
    <t>KOELFONTEIN NGK PRIMÊRE SKOOL</t>
  </si>
  <si>
    <t>KOMMANDANTSDRIFT SSKV PRIMÊRE SKOOL</t>
  </si>
  <si>
    <t>KOMMETJIE PRIMARY SCHOOL</t>
  </si>
  <si>
    <t>KONINGSPIKKIES PRESCHOOL</t>
  </si>
  <si>
    <t>KOO LAERSKOOL</t>
  </si>
  <si>
    <t>KOOS SADIE PRIMARY SCHOOL</t>
  </si>
  <si>
    <t>KORANRUG PRIMÊRE SKOOL</t>
  </si>
  <si>
    <t>KORINGBERG PRIMÊRE SKOOL</t>
  </si>
  <si>
    <t>KOSIE DE WET PRIMARY SCHOOL</t>
  </si>
  <si>
    <t>KOUE BOKKEVELD LAERSKOOL</t>
  </si>
  <si>
    <t>KRAAIFONTEIN AME PRIMÊRE SKOOL</t>
  </si>
  <si>
    <t>KRAAIFONTEIN HIGH SCHOOL</t>
  </si>
  <si>
    <t>KRANSHOEK PRIMÊRE SKOOL</t>
  </si>
  <si>
    <t>KRAPPIES EN KREFIES</t>
  </si>
  <si>
    <t>KRETZENSHOOP PRIMÊRE SKOOL</t>
  </si>
  <si>
    <t>KROMLIN PRIMÊRE SKOOL</t>
  </si>
  <si>
    <t>KRONENDAL PRIMARY SCHOOL</t>
  </si>
  <si>
    <t>KRUISRIVIER-WES UCC PRIMÊRE SKOOL</t>
  </si>
  <si>
    <t>KUILS RIVER PRIMARY SCHOOL</t>
  </si>
  <si>
    <t>KUILS RIVER TECHNICAL SECONDARY SCHOOL</t>
  </si>
  <si>
    <t>KUKHANYILE EDUCARE</t>
  </si>
  <si>
    <t>KUKHANYILE PUBLIC PRIMARY SCHOOL</t>
  </si>
  <si>
    <t>KULANI SECONDARY SCHOOL</t>
  </si>
  <si>
    <t>KUYAKHANYA PRIMARY</t>
  </si>
  <si>
    <t>KUYASA EDUCARE CENTRE (KHAYELITSHA)</t>
  </si>
  <si>
    <t>KUYASA PRIMARY SCHOOL</t>
  </si>
  <si>
    <t>KWA ZONDI DAY CARE CENTRE</t>
  </si>
  <si>
    <t>KWA-FAKU PRIMARY SCHOOL</t>
  </si>
  <si>
    <t>KWAMFUNDO SECONDARY SCHOOL</t>
  </si>
  <si>
    <t>KWANOKUTHULA PRIMARY SCHOOL</t>
  </si>
  <si>
    <t>KWEEKKRAAL NGK PRIMÊRE SKOOL</t>
  </si>
  <si>
    <t>KWEEKVALLEI KOLLEGE</t>
  </si>
  <si>
    <t>KYLEMORE SEKONDÊR</t>
  </si>
  <si>
    <t>L.K. ZEEMAN ACADEMY</t>
  </si>
  <si>
    <t>L.R. SCHMIDT MOR PRIMARY SCHOOL</t>
  </si>
  <si>
    <t>LA GRATITUDE PREPRIMARY SCHOOL</t>
  </si>
  <si>
    <t>LA PLAISANTE NGK PRIMÊRE SKOOL</t>
  </si>
  <si>
    <t>LA ROCHELLE GIRLS PRIMARY SCHOOL</t>
  </si>
  <si>
    <t>LA ROCHELLE MEISIES HOËRSKOOL</t>
  </si>
  <si>
    <t>LA ROCHELLE PREPRIMARY SCHOOL</t>
  </si>
  <si>
    <t>LA VIGNE EDUCATIONAL HOUSE</t>
  </si>
  <si>
    <t>LAASTEDRIF NGK PRIMÊRE SKOOL</t>
  </si>
  <si>
    <t>LABIANCE PRIMARY SCHOOL</t>
  </si>
  <si>
    <t>LABORI HOËRSKOOL</t>
  </si>
  <si>
    <t>LADISMITH HOËRSKOOL</t>
  </si>
  <si>
    <t>LADISMITH SEKONDÊR</t>
  </si>
  <si>
    <t>LADY BUXTON PREPRIMARY SCHOOL</t>
  </si>
  <si>
    <t>LAERSKOOL MOUNTVIEW</t>
  </si>
  <si>
    <t>LAERSKOOL WAVEREN</t>
  </si>
  <si>
    <t>LAINGSBURG HOËRSKOOL</t>
  </si>
  <si>
    <t>LAKESIDE EDUCATION ACADEMY</t>
  </si>
  <si>
    <t>LAMBERTS BAY HIGH SCHOOL</t>
  </si>
  <si>
    <t>LANCEWOOD PRIMÊRE SKOOL</t>
  </si>
  <si>
    <t>LANGA SECONDARY SCHOOL</t>
  </si>
  <si>
    <t>LANGABUYA PRIMARY SCHOOL</t>
  </si>
  <si>
    <t>LANGEBAAN PRE-PRIMARY COMMUNITY SCHOOL</t>
  </si>
  <si>
    <t>LANGEBAAN PRIMÊRE SKOOL</t>
  </si>
  <si>
    <t>LANGEBAAN PRIVAAT SKOOL NPC TRADING AS TOPOLINO PR</t>
  </si>
  <si>
    <t>LANGEBAANWEG LAERSKOOL</t>
  </si>
  <si>
    <t>LANGEBERG SEKONDÊR</t>
  </si>
  <si>
    <t>LANGENHOVEN GIMNASIUM</t>
  </si>
  <si>
    <t>LANGENHOVEN HOËRSKOOL</t>
  </si>
  <si>
    <t>LANGERUGSKOOL</t>
  </si>
  <si>
    <t>LANGVLEI SSKV PRIMÊRE SKOOL</t>
  </si>
  <si>
    <t>LANNER HOUSE</t>
  </si>
  <si>
    <t>LANTANA PRIMARY SCHOOL</t>
  </si>
  <si>
    <t>L'ARMOUR MARTINELLE CRECHE</t>
  </si>
  <si>
    <t>LATEGANSVLEI SSKV PRIMÊRE SKOOL</t>
  </si>
  <si>
    <t>LATHI-THA SCHOOL OF SKILLS</t>
  </si>
  <si>
    <t>LAURIE HUGO PRIMÊRE SKOOL</t>
  </si>
  <si>
    <t>LAURUS PRIMERE SKOOL</t>
  </si>
  <si>
    <t>LAVENDER HILL HIGH SCHOOL</t>
  </si>
  <si>
    <t>LAVISRYLAAN PRIMARY SCHOOL</t>
  </si>
  <si>
    <t>LAWRENCIA PRIMÊRE SKOOL</t>
  </si>
  <si>
    <t>LE BONHE'R COTTAGE SCHOOL</t>
  </si>
  <si>
    <t>LE CHASSEUR VGK PRIMÊRE SKOOL</t>
  </si>
  <si>
    <t>LEAP SCIENCE AND MATHS SCHOOL</t>
  </si>
  <si>
    <t>LEEU GAMKA PRIMÊRE SKOOL</t>
  </si>
  <si>
    <t>LEGACY HOUSE SCHOOL</t>
  </si>
  <si>
    <t>LEHLOHONOLO PREPRIMARY SCHOOL</t>
  </si>
  <si>
    <t>LEHLOHONOLO PRIMARY SCHOOL</t>
  </si>
  <si>
    <t>LEIDEN AVENUE PRIMARY SCHOOL</t>
  </si>
  <si>
    <t>LEIDEN JUNIOR HIGH SCHOOL</t>
  </si>
  <si>
    <t>LEIDEN PRIMARY SCHOOL</t>
  </si>
  <si>
    <t>LEIDEN SECONDARY SCHOOL</t>
  </si>
  <si>
    <t>LEIPOLDTVILLE NGK PRIMÊRE SKOOL</t>
  </si>
  <si>
    <t>LEIPZIG SSKV PRIMÊRE SKOOL</t>
  </si>
  <si>
    <t>LEMOENLAND EDUCARE</t>
  </si>
  <si>
    <t>LEMOENPOORT PRIMÊRE SKOOL</t>
  </si>
  <si>
    <t>LEMOENSHOEK NGK PRIMÊRE SKOOL</t>
  </si>
  <si>
    <t>LENTEGEUR SCHOOL FOR LSEN-SMH</t>
  </si>
  <si>
    <t>LENTEGEUR SECONDARY SCHOOL</t>
  </si>
  <si>
    <t>LEONSDALE PRIMÊRE SKOOL</t>
  </si>
  <si>
    <t>LESEDI EDUCARE</t>
  </si>
  <si>
    <t>LETTERLAND EDUCARE CENTRE</t>
  </si>
  <si>
    <t>LEVANA PRIMARY SCHOOL</t>
  </si>
  <si>
    <t>LIEBENBERG PRIMARY SCHOOL</t>
  </si>
  <si>
    <t>LIESBEECK PRIMARY SCHOOL</t>
  </si>
  <si>
    <t>LIFE CHRISTIAN ACADEMY</t>
  </si>
  <si>
    <t>LIFESTYLE CHRISTIAN ACADEMY</t>
  </si>
  <si>
    <t>LIGHT OF THE CROSS MINISTRIES TRUST TRADING AS HER</t>
  </si>
  <si>
    <t>LIGHTHOUSE ACADEMY</t>
  </si>
  <si>
    <t>LIGHTHOUSE ACADEMY (ECD)</t>
  </si>
  <si>
    <t>LIGHTHOUSE ACADEMY (VILLIERSDORP)</t>
  </si>
  <si>
    <t>LIGSTRAAL SKOOL</t>
  </si>
  <si>
    <t>LIKHONI LANGA CARE CENTRE</t>
  </si>
  <si>
    <t>LINGE PRIMARY SCHOOL</t>
  </si>
  <si>
    <t>LINGILIHLE PLAY GROUP</t>
  </si>
  <si>
    <t>LINGOMSO PRIMARY SCHOOL</t>
  </si>
  <si>
    <t>LITHA PRIMARY SCHOOL</t>
  </si>
  <si>
    <t>LITTLE BOSCH GR R AND ACTIVITY CENTRE</t>
  </si>
  <si>
    <t>LITTLE GREENIES DAY CARE NO 1</t>
  </si>
  <si>
    <t>LITTLE GREENIES DAY CARE NO 3</t>
  </si>
  <si>
    <t>LITTLE GREENIES PREPARATORY</t>
  </si>
  <si>
    <t>LITTLE JEWELS EDUCARE CENTRE</t>
  </si>
  <si>
    <t>LITTLE LAMBS ACADEMY</t>
  </si>
  <si>
    <t>LITTLE LAMBS CHRISTIAN DAY CARE</t>
  </si>
  <si>
    <t>LITTLE LILLIES PREPRIMARY SCHOOL</t>
  </si>
  <si>
    <t>LITTLE PARKIES ACADEMY</t>
  </si>
  <si>
    <t>LITTLE PENGUIN'S EDUCARE</t>
  </si>
  <si>
    <t>LITTLE STARS PRE- PRIMARY SCHOOL(SOMERS</t>
  </si>
  <si>
    <t>LITTLE STARS PRE-PRIMÊRE SKOOL</t>
  </si>
  <si>
    <t>LITTLE WILLOW MONTESSORI PREPRIMARY</t>
  </si>
  <si>
    <t>LITTLEWOOD PRIMARY SCHOOL</t>
  </si>
  <si>
    <t>LIVINGSTONE HIGH SCHOOL</t>
  </si>
  <si>
    <t>LIWA PRIMARY SCHOOL</t>
  </si>
  <si>
    <t>LLANDUDNO PRIMARY SCHOOL</t>
  </si>
  <si>
    <t>LOCHNERHOF LAERSKOOL</t>
  </si>
  <si>
    <t>LOFDAL CHRISTIAN ACADEMY</t>
  </si>
  <si>
    <t>LONGACRES PRIVAATSKOOL</t>
  </si>
  <si>
    <t>LORETO CRECHE'</t>
  </si>
  <si>
    <t>LORETO PRIMARY SCHOOL</t>
  </si>
  <si>
    <t>LORRAINE NGK PRIMÊRE SKOOL</t>
  </si>
  <si>
    <t>LOTUS RIVER PRIMARY SCHOOL</t>
  </si>
  <si>
    <t>LOTUS SEKONDÊR</t>
  </si>
  <si>
    <t>LOURIER PRIMARY SCHOOL</t>
  </si>
  <si>
    <t>LOUWVILLE HOËRSKOOL</t>
  </si>
  <si>
    <t>LOVE WALK CHRISTIAN ACADEMY PRIMARY</t>
  </si>
  <si>
    <t>LOWER CROSSROADS HIGH SCHOOL</t>
  </si>
  <si>
    <t>LUCKHOFF SEKONDÊR</t>
  </si>
  <si>
    <t>LUDWE NGAMLANA PRIMARY SCHOOL</t>
  </si>
  <si>
    <t>LUHLAZA SECONDARY SCHOOL</t>
  </si>
  <si>
    <t>LUKHANYO PREPRIMARY (KHAY)</t>
  </si>
  <si>
    <t>LUKHANYO PRIMARY SCHOOL</t>
  </si>
  <si>
    <t>LULEKA PRIMARY SCHOOL</t>
  </si>
  <si>
    <t>LUTZVILLE HOËRSKOOL</t>
  </si>
  <si>
    <t>LUTZVILLE NGK PRIMÊRE SKOOL</t>
  </si>
  <si>
    <t>LUYOLO PREPRIMARY SCHOOL</t>
  </si>
  <si>
    <t>LUZUKO PRIMARY SCHOOL</t>
  </si>
  <si>
    <t>LWANDLE HIGH SCHOOL</t>
  </si>
  <si>
    <t>LWANDLE PRIMARY SCHOOL</t>
  </si>
  <si>
    <t>LWAZI PRIMARY SCHOOL</t>
  </si>
  <si>
    <t>LYCEE FRANCAIS DU CAP FRANCOIS LE VAILLANT</t>
  </si>
  <si>
    <t>M JUNIORS SCHOOL</t>
  </si>
  <si>
    <t>M M MATEZA PRIMARY SCHOOL</t>
  </si>
  <si>
    <t>MABILLE SONEIKE PRIVATE SCHOOL</t>
  </si>
  <si>
    <t>MACASSAR PRIMÊRE SKOOL</t>
  </si>
  <si>
    <t>MACASSAR SEK</t>
  </si>
  <si>
    <t>MADRASATUR RAJAA STRAND HIGH SCHOOL</t>
  </si>
  <si>
    <t>MADRASSATU TARBIYYAH</t>
  </si>
  <si>
    <t>MAGNOLIA PRIMÊRE SKOOL</t>
  </si>
  <si>
    <t>MAITLAND COTTAGE HOME</t>
  </si>
  <si>
    <t>MAITLAND HIGH SCHOOL</t>
  </si>
  <si>
    <t>MAKAZI EDUCARE</t>
  </si>
  <si>
    <t>MAKUPULA SECONDARY SCHOOL</t>
  </si>
  <si>
    <t>MALIBU SEKONDÊR</t>
  </si>
  <si>
    <t>MALMESBURY HIGH SCHOOL NO.2</t>
  </si>
  <si>
    <t>MAMRE PRIMÊRE SKOOL</t>
  </si>
  <si>
    <t>MANAH PRIVATE ACADEMY</t>
  </si>
  <si>
    <t>MANDALAY EDUCARE CENTRE</t>
  </si>
  <si>
    <t>MANDALAY PRIMARY SCHOOL</t>
  </si>
  <si>
    <t>MANDLENKOSI SECONDARY SCHOOL</t>
  </si>
  <si>
    <t>MANENBERG MOR. NURSERY SCHOOL</t>
  </si>
  <si>
    <t>MANENBERG PRIMARY SCHOOL</t>
  </si>
  <si>
    <t>MANENBERG SEKONDÊR</t>
  </si>
  <si>
    <t>MANYANO HIGH SCHOOL</t>
  </si>
  <si>
    <t>MANZOMTHOMBO SECONDARY SCHOOL</t>
  </si>
  <si>
    <t>MARAISDAL NGK PRIMÊRE SKOOL</t>
  </si>
  <si>
    <t>MARCONI BEAM PRIMARY SCHOOL</t>
  </si>
  <si>
    <t>MARIAN RC SECONDARY SCHOOL</t>
  </si>
  <si>
    <t>MARINE PRIMARY SCHOOL</t>
  </si>
  <si>
    <t>MARVIN PARK PRIMARY SCHOOL</t>
  </si>
  <si>
    <t>MARY HARDING SKOOL</t>
  </si>
  <si>
    <t>MARY HELP OF CHRISTIANS PRIMARY SCHOOL</t>
  </si>
  <si>
    <t>MARY KIHN SCHOOL</t>
  </si>
  <si>
    <t>MASAKANE DAGSORG</t>
  </si>
  <si>
    <t>MASAKHANE EDUCARE (MASIPHUMELELE)</t>
  </si>
  <si>
    <t>MASAKHANE GRASSROOTS PREPRIMARY</t>
  </si>
  <si>
    <t>MASAKHANE PRIMARY SCHOOL</t>
  </si>
  <si>
    <t>MASAKHEKE COMBINED SCHOOL</t>
  </si>
  <si>
    <t>MASANDE PREPRIMARY SCHOOL</t>
  </si>
  <si>
    <t>MASIBAMBANE EDUCARE</t>
  </si>
  <si>
    <t>MASIBAMBANE SECONDARY SCHOOL</t>
  </si>
  <si>
    <t>MASIBAMBISANE SECONDARY SCHOOL</t>
  </si>
  <si>
    <t>MASIEDUL-IHLAAS PRE MADRASSA</t>
  </si>
  <si>
    <t>MASIFUNDE PRIMARY SCHOOL</t>
  </si>
  <si>
    <t>MASIKHULULEKE EDUCARE</t>
  </si>
  <si>
    <t>MASINCEDANE PREPRIMARY SCHOOL</t>
  </si>
  <si>
    <t>MASIPHATHISANE PRIMARY SCHOOL</t>
  </si>
  <si>
    <t>MASIPHUMELELE HIGH SCHOOL</t>
  </si>
  <si>
    <t>MASIPHUMELELE PRIMARY SCHOOL</t>
  </si>
  <si>
    <t>MASIVUKE PRIMARY SCHOOL</t>
  </si>
  <si>
    <t>MASIYILE SENIOR SECONDARY SCHOOL</t>
  </si>
  <si>
    <t>MASJID-US SALAAM PREPRIMARY SCHOOL</t>
  </si>
  <si>
    <t>MASJIED DUL UMMAH DAYCARE AND GRADE R</t>
  </si>
  <si>
    <t>MASKAM PRIMÊRE SKOOL</t>
  </si>
  <si>
    <t>MASONWABE PRIMARY SCHOOL</t>
  </si>
  <si>
    <t>MATHABO EDUCARE CENTRE</t>
  </si>
  <si>
    <t>MATJIESFONTEIN LB PRIMÊRE SKOOL</t>
  </si>
  <si>
    <t>MATJIESRIVIER NGK PRIMÊRE SKOOL</t>
  </si>
  <si>
    <t>MATROOSBERG HOLY TRINITY RC PRIMARY SCHOOL</t>
  </si>
  <si>
    <t>MATROOSBERGWEG PRIMARY SCHOOL</t>
  </si>
  <si>
    <t>MATROOSFONTEIN PRIMARY SCHOOL</t>
  </si>
  <si>
    <t>MATTHEW GONIWE MEMORIAL HIGH SCHOOL</t>
  </si>
  <si>
    <t>MAXONIA NGK PRIMÊRE SKOOL</t>
  </si>
  <si>
    <t>MBEKWENI PRIMARY SCHOOL</t>
  </si>
  <si>
    <t>MCGREGOR FOUNTAIN WALDORF SCHOOL</t>
  </si>
  <si>
    <t>MCGREGOR HIGH SCHOOL NPC</t>
  </si>
  <si>
    <t>MCGREGOR PRIMÊRE SKOOL</t>
  </si>
  <si>
    <t>MEADOWRIDGE PRIMARY SCHOOL</t>
  </si>
  <si>
    <t>MEERENDAL PREPRIMARY SCHOOL</t>
  </si>
  <si>
    <t>MEIRING PRIMÊRE SKOOL</t>
  </si>
  <si>
    <t>MELKBOS HIGH SCHOOL</t>
  </si>
  <si>
    <t>MELKBOS PREPRIMARY SCHOOL</t>
  </si>
  <si>
    <t>MELKBOSSTRAND PRIVATE SCHOOL</t>
  </si>
  <si>
    <t>MELKHOUTFONTEIN PRIMÊRE SKOOL</t>
  </si>
  <si>
    <t>MELTON PRIMARY SCHOOL</t>
  </si>
  <si>
    <t>MERIDIAN PINEHURST PRIVATE SCHOOL</t>
  </si>
  <si>
    <t>MERRYDALE PRIMARY SCHOOL</t>
  </si>
  <si>
    <t>MERWEVILLE PRIMÊRE SKOOL</t>
  </si>
  <si>
    <t>METANOIA SILVER OAK</t>
  </si>
  <si>
    <t>MEULENHOF PRIMARY SCHOOL</t>
  </si>
  <si>
    <t>MFULENI PRIMARY SCHOOL</t>
  </si>
  <si>
    <t>MFULENI SECONDARY SCHOOL</t>
  </si>
  <si>
    <t>MFULENI TECHNICAL ACADEMY</t>
  </si>
  <si>
    <t>MICHAEL OAK WALDORF SCHOOL</t>
  </si>
  <si>
    <t>MICKEY MOUSE CRECHE</t>
  </si>
  <si>
    <t>MICKLEFIELD SCHOOL</t>
  </si>
  <si>
    <t>MIDDELDEURVLEI NGK PRIMÊRE SKOOL</t>
  </si>
  <si>
    <t>MIDDELPOS PRIMARY SCHOOL</t>
  </si>
  <si>
    <t>MIDDELRIVIER PRIMÊRE SKOOL</t>
  </si>
  <si>
    <t>MIKRO LAERSKOOL</t>
  </si>
  <si>
    <t>MILKWOOD PRIMARY SCHOOL</t>
  </si>
  <si>
    <t>MILNERTON HIGH SCHOOL</t>
  </si>
  <si>
    <t>MILNERTON PREPRIMARY SCHOOL</t>
  </si>
  <si>
    <t>MILNERTON PRIMARY SCHOOL</t>
  </si>
  <si>
    <t>MIMOSA PRIMARY SCHOOL</t>
  </si>
  <si>
    <t>MISPAH-SKOOL</t>
  </si>
  <si>
    <t>MITCHELL HEIGHTS PRIMARY SCHOOL</t>
  </si>
  <si>
    <t>MITCHELL'S PLAIN HIGH SCHOOL</t>
  </si>
  <si>
    <t>MITCHELL'S PLAIN PRIM</t>
  </si>
  <si>
    <t>MITCHELL'S PLAIN SCHOOL OF SKILLS</t>
  </si>
  <si>
    <t>MKHANYISELI PRIMARY SCHOOL</t>
  </si>
  <si>
    <t>MODDERDAM SEKONDÊR</t>
  </si>
  <si>
    <t>MOEMFIE KLEUTERSKOOL</t>
  </si>
  <si>
    <t>MOKONE PRIMARY SCHOOL</t>
  </si>
  <si>
    <t>MOLENBEEK SKOOL</t>
  </si>
  <si>
    <t>MOLENRIVIER PRIMÊRE SKOOL</t>
  </si>
  <si>
    <t>MOLO MHLABA PRIMARY SCHOOL</t>
  </si>
  <si>
    <t>MONDALE HIGH SCHOOL</t>
  </si>
  <si>
    <t>MONDEOR ECO SCHOOL</t>
  </si>
  <si>
    <t>MONTAGU DRIVE PRIMARY SCHOOL</t>
  </si>
  <si>
    <t>MONTAGU HOËRSKOOL</t>
  </si>
  <si>
    <t>MONTAGU LAERSKOOL</t>
  </si>
  <si>
    <t>MONTAGU PREPRIMARY SCHOOL</t>
  </si>
  <si>
    <t>MONTAGU'S GIFT PRIMARY SCHOOL</t>
  </si>
  <si>
    <t>MONTANA HOËRSKOOL</t>
  </si>
  <si>
    <t>MONTANA PRIMARY SCHOOL</t>
  </si>
  <si>
    <t>MONTE VISTA PRIMARY SCHOOL</t>
  </si>
  <si>
    <t>MONTESSORI @ HOME INDEPENDENT SCHOOL</t>
  </si>
  <si>
    <t>MONTESSORI CONNECT-THE CHILDREN'S WORKS</t>
  </si>
  <si>
    <t>MONTEVIDEO PRIMARY SCHOOL</t>
  </si>
  <si>
    <t>MONTGOMERY AND MILLER ACADEMY</t>
  </si>
  <si>
    <t>MONTROUGE VGK PRIMÊRE SKOOL</t>
  </si>
  <si>
    <t>MONUMENT PARK HOËRSKOOL</t>
  </si>
  <si>
    <t>MONWABISI EDUCARE</t>
  </si>
  <si>
    <t>MOOI UITSIG PRIMÊRE SKOOL NO.2</t>
  </si>
  <si>
    <t>MOOI-UITSIG PRIMÊRE SKOOL</t>
  </si>
  <si>
    <t>MOORREESBURG HOËRSKOOL</t>
  </si>
  <si>
    <t>MORESTER AKADEMIE</t>
  </si>
  <si>
    <t>MORESTER SEK</t>
  </si>
  <si>
    <t>MORGENSON PRIMARY SCHOOL</t>
  </si>
  <si>
    <t>MORNING STAR NGK PRIMÊRE SKOOL</t>
  </si>
  <si>
    <t>MORRISDALE PRIMÊRE SKOOL</t>
  </si>
  <si>
    <t>MOSHESH PRIMARY SCHOOL</t>
  </si>
  <si>
    <t>MOSSELBAAI EK PRIMÊRE SKOOL</t>
  </si>
  <si>
    <t>MOSSIENES KLEUTERSKOOL</t>
  </si>
  <si>
    <t>MOUNT PLEASANT PRIMÊRE SKOOL</t>
  </si>
  <si>
    <t>MOUNT VIEW EDUCATION CENTRE</t>
  </si>
  <si>
    <t>MOUNT VIEW SECONDARY SCHOOL</t>
  </si>
  <si>
    <t>MOUNTAIN ROAD PRIMARY SCHOOL</t>
  </si>
  <si>
    <t>MOUNTAIN VIEW ACADEMY</t>
  </si>
  <si>
    <t>MSEKI PRIMARY SCHOOL</t>
  </si>
  <si>
    <t>MUHAMMADEYAH MOS PRIMARY SCHOOL</t>
  </si>
  <si>
    <t>MUIZENBERG HIGH SCHOOL</t>
  </si>
  <si>
    <t>MUIZENBERG JUNIOR SCHOOL</t>
  </si>
  <si>
    <t>MULBERRY TREE MONTESSORI</t>
  </si>
  <si>
    <t>MULLERSRUS PRIMÊRE SKOOL</t>
  </si>
  <si>
    <t>MURRAY HIGH SCHOOL</t>
  </si>
  <si>
    <t>MURRAYSBURG HOËRSKOOL</t>
  </si>
  <si>
    <t>MURRAYSBURG PRIMARY SCHOOL</t>
  </si>
  <si>
    <t>MVULA PRIMARY SCHOOL</t>
  </si>
  <si>
    <t>MZAMO EDUCARE CENTRE</t>
  </si>
  <si>
    <t>MZAMOMHLE PREPRIMARY SCHOOL</t>
  </si>
  <si>
    <t>MZAMOMHLE PRIMARY SCHOOL</t>
  </si>
  <si>
    <t>MZAMOMTSHA PRIMARY SCHOOL</t>
  </si>
  <si>
    <t>MZOXOLO PRIMARY SCHOOL</t>
  </si>
  <si>
    <t>NAASTDRIFT PRIMÊRE SKOOL</t>
  </si>
  <si>
    <t>NAL'IKAMVA PRIMARY SCHOOL</t>
  </si>
  <si>
    <t>NAL'UXULO PRIMARY SCHOOL</t>
  </si>
  <si>
    <t>NAPHAKADE PRIMARY SCHOOL</t>
  </si>
  <si>
    <t>NATURAL LEARNING ACADEMY</t>
  </si>
  <si>
    <t>NDULI PRIMARY SCHOOL</t>
  </si>
  <si>
    <t>NEBO PRIMARY SCHOOL</t>
  </si>
  <si>
    <t>NED DOMAN HIGH SCHOOL</t>
  </si>
  <si>
    <t>NEDERBURG PRIMÊRE SKOOL</t>
  </si>
  <si>
    <t>NERINA PRIMARY SCHOOL</t>
  </si>
  <si>
    <t>NEW DAWN PARK PRIMÊRE SKOOL</t>
  </si>
  <si>
    <t>NEW EISLEBEN SECONDARY SCHOOL</t>
  </si>
  <si>
    <t>NEW HAVEN ACADEMY</t>
  </si>
  <si>
    <t>NEW ORLEANS PRIMÊRE SKOOL</t>
  </si>
  <si>
    <t>NEW ORLEANS SEKONDÊR</t>
  </si>
  <si>
    <t>NEW REST EDUCARE CENTRE</t>
  </si>
  <si>
    <t>NEW VREDENBURG HIGH SCHOOL</t>
  </si>
  <si>
    <t>NEWBERRY HOUSE MONTESSORI SCHOOL</t>
  </si>
  <si>
    <t>NEWFIELDS PRIMARY SCHOOL</t>
  </si>
  <si>
    <t>NEWTON PRIMÊRE SKOOL</t>
  </si>
  <si>
    <t>NIEUWE DRIFT PRIMARY SCHOOL</t>
  </si>
  <si>
    <t>NIEUWE MORGEN PRIMÊRE SKOOL</t>
  </si>
  <si>
    <t>NIEUWOUDT PRIMÊRE SKOOL</t>
  </si>
  <si>
    <t>NIKO BRUMMER PRIMARY SCHOOL</t>
  </si>
  <si>
    <t>NKAZIMLO PRIMARY SCHOOL</t>
  </si>
  <si>
    <t>NKQUBELA PRIMARY SCHOOL</t>
  </si>
  <si>
    <t>NOBANTU PRIMARY SCHOOL</t>
  </si>
  <si>
    <t>NOBUNTU EDUCARE CENTRE</t>
  </si>
  <si>
    <t>NOKWEZI CRECHE</t>
  </si>
  <si>
    <t>NOLUNGILE EDUCARE</t>
  </si>
  <si>
    <t>NOLUNGILE PRIMARY SCHOOL</t>
  </si>
  <si>
    <t>NOLUTHANDO II PRESCHOOL</t>
  </si>
  <si>
    <t>NOLUTHANDO SCHOOL FOR THE DEAF</t>
  </si>
  <si>
    <t>NOMLINGANISELO PRIMARY SCHOOL</t>
  </si>
  <si>
    <t>NOMONDE I EDUCARE CENTRE</t>
  </si>
  <si>
    <t>NOMPUMELELO SKOOL</t>
  </si>
  <si>
    <t>NOMSA MAPONGWANA PRIMARY SCHOOL</t>
  </si>
  <si>
    <t>NOMZAMO EDUCARE CENTRE</t>
  </si>
  <si>
    <t>NOMZAMO EDUCARE CENTRE (MBEKWENI)</t>
  </si>
  <si>
    <t>NOMZAMO HIGH SCHOOL</t>
  </si>
  <si>
    <t>NOMZAMO PRIMARY SCHOOL</t>
  </si>
  <si>
    <t>NONCEDO CRECHE (MFULENI)</t>
  </si>
  <si>
    <t>NONDZAME PRIMARY SCHOOL (S.A.)</t>
  </si>
  <si>
    <t>NONKQUBELA DAY CARE</t>
  </si>
  <si>
    <t>NONKQUBELA EDUCARE CENTRE (KHAYELITSHA)</t>
  </si>
  <si>
    <t>NONZAME II EDUCARE CENTRE</t>
  </si>
  <si>
    <t>NOOITGEDACHT PRIMARY SCHOOL</t>
  </si>
  <si>
    <t>NOORD-EIND PRIMÊRE SKOOL</t>
  </si>
  <si>
    <t>NOORDER-PAARL SEKONDÊR</t>
  </si>
  <si>
    <t>NOORDHOEK NGK PRIMÊRE SKOOL</t>
  </si>
  <si>
    <t>NOORDHOEK PRIMÊRE SKOOL</t>
  </si>
  <si>
    <t>NORMA ROAD PRIMARY SCHOOL</t>
  </si>
  <si>
    <t>NORMAN HENSHILWOOD HIGH SCHOOL</t>
  </si>
  <si>
    <t>NORTHCLIFF HOUSE COLLEGE</t>
  </si>
  <si>
    <t>NORTHPINE PRIMARY SCHOOL</t>
  </si>
  <si>
    <t>NORTHPINE TECHNICAL HIGH SCHOOL</t>
  </si>
  <si>
    <t>NORTHRIDGE NGK PRIMÊRE SKOOL</t>
  </si>
  <si>
    <t>NORTHWAY PRIMÊRE SKOOL</t>
  </si>
  <si>
    <t>NORTHWOOD PRIMARY SCHOOL</t>
  </si>
  <si>
    <t>NORWOOD EARLY LEARNING PREPRIMARY</t>
  </si>
  <si>
    <t>NORWOOD SENTRAAL PRIMARY SCHOOL</t>
  </si>
  <si>
    <t>NOSAPHO EDUCARE CENTRE</t>
  </si>
  <si>
    <t>NOSISEKO PRESCHOOL</t>
  </si>
  <si>
    <t>NOSIZWE EDUCARE CENTRE</t>
  </si>
  <si>
    <t>NOTA BENE LEARNING CENTRE</t>
  </si>
  <si>
    <t>NOUVEAU - PAARL</t>
  </si>
  <si>
    <t>NOUVEAU KOLLEGE</t>
  </si>
  <si>
    <t>NOWERS HIGH SCHOOL ACADEMY</t>
  </si>
  <si>
    <t>NOXOLO XAUKA PRIMARY SCHOOL</t>
  </si>
  <si>
    <t>NTWASAHLOBO PRIMARY SCHOOL</t>
  </si>
  <si>
    <t>NUHOOP NGK PRIMÊRE SKOOL</t>
  </si>
  <si>
    <t>NURAL HUDA NURSERY</t>
  </si>
  <si>
    <t>NUWEFONTEIN PRIMÊRE SKOOL</t>
  </si>
  <si>
    <t>NUWERUS HOËRSKOOL</t>
  </si>
  <si>
    <t>NUYSTASIE NGK PRIMÊRE SKOOL</t>
  </si>
  <si>
    <t>NYAMEKO PRIM</t>
  </si>
  <si>
    <t>NYANGA PREPRIMARY SCHOOL</t>
  </si>
  <si>
    <t>O.J. ERASMUS NGK PRIMÊRE SKOOL</t>
  </si>
  <si>
    <t>OAKDALE LANDBOUSKOOL</t>
  </si>
  <si>
    <t>OAKDALE MONTESSORI  SCHOOL</t>
  </si>
  <si>
    <t>OAKDALE MONTESSORI SUNNINGDALE</t>
  </si>
  <si>
    <t>OAKHILL SCHOOL</t>
  </si>
  <si>
    <t>OAKHURST GIRLS' PRIMARY SCHOOL</t>
  </si>
  <si>
    <t>OAKLAND ACADEMY</t>
  </si>
  <si>
    <t>OAKLANDS SEKONDÊR</t>
  </si>
  <si>
    <t>OAKLEY HOUSE SCHOOL</t>
  </si>
  <si>
    <t>OAKTREE PREPRIMARY SCHOOL</t>
  </si>
  <si>
    <t>OAKVIEW ACADEMY</t>
  </si>
  <si>
    <t>OASIS SPECIAL SCHOOL</t>
  </si>
  <si>
    <t>OBSERVATORY JUNIOR</t>
  </si>
  <si>
    <t>OCEAN VIEW SECONDARY SCHOOL</t>
  </si>
  <si>
    <t>OCEAN VIEW SKOOL</t>
  </si>
  <si>
    <t>OKER PRIMÊRE SKOOL</t>
  </si>
  <si>
    <t>OKKIE SMUTS PRIMARY SCHOOL</t>
  </si>
  <si>
    <t>OKLAHOMASTRAAT PRIMÊRE SKOOL</t>
  </si>
  <si>
    <t>OLIFANTSVALLEI PRIMÊRE SKOOL</t>
  </si>
  <si>
    <t>OLYFKRANS COLLEGE.</t>
  </si>
  <si>
    <t>OLYMPIA SKOOL</t>
  </si>
  <si>
    <t>OOSTENBERG GOOD HOPE CHRISTIAN SCHOOL</t>
  </si>
  <si>
    <t>ORACLE SENIOR SECONDARY SCHOOL (NPC)</t>
  </si>
  <si>
    <t>ORANJEKLOOF MOR PRIMARY SCHOOL</t>
  </si>
  <si>
    <t>ORCHARD PRIMÊRE SKOOL</t>
  </si>
  <si>
    <t>ORLEANSVALE PRIMÊRE SKOOL</t>
  </si>
  <si>
    <t>OSCAR MPETHA HIGH SCHOOL</t>
  </si>
  <si>
    <t>OTTER'S CREEK JUNIOR SCHOOL</t>
  </si>
  <si>
    <t>OTTERY JEUGSORG EN ONDERWYSSENTRUM</t>
  </si>
  <si>
    <t>OTTERY ROAD (METH) PRIMARY SCHOOL</t>
  </si>
  <si>
    <t>OUDE MOLEN HTS.</t>
  </si>
  <si>
    <t>OUDTSHOORN HOËRSKOOL</t>
  </si>
  <si>
    <t>OUDTSHOORN SCHOOL OF SKILLS</t>
  </si>
  <si>
    <t>OUPLAAS EK PRIMÊRE SKOOL</t>
  </si>
  <si>
    <t>OUR LITTLE PEOPLE (PAARL) PREP</t>
  </si>
  <si>
    <t>OUTENIQUA HOËRSKOOL</t>
  </si>
  <si>
    <t>OUTENIQUA PRIMARY SCHOOL</t>
  </si>
  <si>
    <t>OVAL NORTH SECONDARY SCHOOL</t>
  </si>
  <si>
    <t>OVERBERG HIGH SCHOOL</t>
  </si>
  <si>
    <t>OVERBERG LAERSKOOL</t>
  </si>
  <si>
    <t>OVERBERG PREPRIMARY SCHOOL</t>
  </si>
  <si>
    <t>OVERHEX NGK PRIMÊRE SKOOL</t>
  </si>
  <si>
    <t>P J OLIVIER KUNSSENTRUM</t>
  </si>
  <si>
    <t>P.C. PETERSEN PRIMÊRE SKOOL</t>
  </si>
  <si>
    <t>P.J. BADENHORST PRIMÊRE SKOOL</t>
  </si>
  <si>
    <t>P.J.B. CONA PRIMARY SCHOOL</t>
  </si>
  <si>
    <t>P.W. DE BRUIN PRIMÊRE SKOOL</t>
  </si>
  <si>
    <t>PAARDEKLOOF NGK PRIMÊRE SKOOL</t>
  </si>
  <si>
    <t>PAARDEKOP NGK PRIMÊRE SKOOL</t>
  </si>
  <si>
    <t>PAARL BOYS' PRIMARY SCHOOL</t>
  </si>
  <si>
    <t>PAARL GIRLS HOËRSKOOL</t>
  </si>
  <si>
    <t>PAARL HOSPITAAL PREPRIMARY SCHOOL</t>
  </si>
  <si>
    <t>PAARL VAARDIGHEIDSKOOL</t>
  </si>
  <si>
    <t>PAARL-SKOOL VIR NEURAAL GESTREMDE KINDE</t>
  </si>
  <si>
    <t>PAARLZICHT PRIMÊRE SKOOL</t>
  </si>
  <si>
    <t>PACALTSDORP PRIMÊRE SKOOL</t>
  </si>
  <si>
    <t>PACALTSDORP SEKONDÊR</t>
  </si>
  <si>
    <t>PADDAKOOR AKADEMIE EDUCARE &amp; AFTERCARE CENTRE</t>
  </si>
  <si>
    <t>PALM PARK PRIMARY SCHOOL</t>
  </si>
  <si>
    <t>PALMERSTON PREPRIMARY AND EDUCARE CENTRE</t>
  </si>
  <si>
    <t>PANORAMA LAERSKOOL</t>
  </si>
  <si>
    <t>PANORAMA PRIMÊRE SKOOL (RIVERSDAL)</t>
  </si>
  <si>
    <t>PANORAMA PRIMÊRE SKOOL (VREDENBURG)</t>
  </si>
  <si>
    <t>PARAMOUNT HIGH SCHOOL</t>
  </si>
  <si>
    <t>PAREL VALLEI HOËRSKOOL</t>
  </si>
  <si>
    <t>PARK LAERSKOOL MOSSELBAAI</t>
  </si>
  <si>
    <t>PARKDENE PRIMARY SCHOOL (KRAAIFONTEIN)</t>
  </si>
  <si>
    <t>PARKDENE PRIMÊRE SKOOL (GEORGE)</t>
  </si>
  <si>
    <t>PARKDENE SEKONDÊR</t>
  </si>
  <si>
    <t>PARKFIELDS PRIMARY SCHOOL</t>
  </si>
  <si>
    <t>PARKHURST PRIMARY SCHOOL</t>
  </si>
  <si>
    <t>PARKLANDS COLLEGE</t>
  </si>
  <si>
    <t>PARKVALE PRIMÊRE SKOOL</t>
  </si>
  <si>
    <t>PARKVIEW PRIMÊRE SKOOL</t>
  </si>
  <si>
    <t>PARKWOOD BUSY BEES</t>
  </si>
  <si>
    <t>PARKWOOD PRIMARY SCHOOL</t>
  </si>
  <si>
    <t>PARLIAMENT STREET PRIMARY SCHOOL</t>
  </si>
  <si>
    <t>PAROW HOËRSKOOL</t>
  </si>
  <si>
    <t>PAROW INKLUSIEWE SKOOL</t>
  </si>
  <si>
    <t>PAROW VALLEY PRIMARY SCHOOL</t>
  </si>
  <si>
    <t>PAROW-NOORD PRIMARY SCHOOL</t>
  </si>
  <si>
    <t>PAROW-OOS LAERSKOOL</t>
  </si>
  <si>
    <t>PAROW-WES PRIMARY SCHOOL</t>
  </si>
  <si>
    <t>PAUL GREYLING PRIMÊRE SKOOL</t>
  </si>
  <si>
    <t>PAUL ROOS GIMNASIUM</t>
  </si>
  <si>
    <t>PAULUS JOUBERT PRIMÊRE SKOOL</t>
  </si>
  <si>
    <t>PAULUS JOUBERT SEKONDÊR</t>
  </si>
  <si>
    <t>PAUW GEDENK PRIMARY SCHOOL</t>
  </si>
  <si>
    <t>PEAK ACADEMY</t>
  </si>
  <si>
    <t>PEAK VIEW SEKONDÊR</t>
  </si>
  <si>
    <t>PEEKABOO DAYCARE AND PRESCHOOL</t>
  </si>
  <si>
    <t>PELICAN PARK HIGH SCHOOL</t>
  </si>
  <si>
    <t>PELICAN PARK PRIMARY</t>
  </si>
  <si>
    <t>PELLA MOR PRIMÊRE SKOOL</t>
  </si>
  <si>
    <t>PERCY MDALA HIGH SCHOOL</t>
  </si>
  <si>
    <t>PERIVALE PRIMARY SCHOOL</t>
  </si>
  <si>
    <t>PERSERVERANCE PRIMARY SCHOOL</t>
  </si>
  <si>
    <t>PERSEVERANCE JUNIOR HIGH SCHOOL</t>
  </si>
  <si>
    <t>PERSEVERANCE SEK</t>
  </si>
  <si>
    <t>PETRA GEDENK PRIMÊRE SKOOL</t>
  </si>
  <si>
    <t>PETUNIA PRIMARY SCHOOL</t>
  </si>
  <si>
    <t>PHAKAMA SECONDARY SCHOOL</t>
  </si>
  <si>
    <t>PHAKAMISANI PRIMARY SCHOOL</t>
  </si>
  <si>
    <t>PHANDULWAZI EDUCARE CENTRE</t>
  </si>
  <si>
    <t>PHANDULWAZI HIGH SCHOOL</t>
  </si>
  <si>
    <t>PHAPHAMANI PREPRIMARY (KHAYE)</t>
  </si>
  <si>
    <t>PHILADELPHIA PRIMARY SCHOOL</t>
  </si>
  <si>
    <t>PHILANI DEV. EDUCARE CENTRE</t>
  </si>
  <si>
    <t>PHILIPPI CHILDRENS CENTRE</t>
  </si>
  <si>
    <t>PHILLIPI SECONDARY SCHOOL</t>
  </si>
  <si>
    <t>PHOENIX SEKONDÊR</t>
  </si>
  <si>
    <t>PHYLLIS JOWELL JEWISH DAY SCHOOL</t>
  </si>
  <si>
    <t>PIET HUGO GEDENK NGK PRIMÊRE SKOOL</t>
  </si>
  <si>
    <t>PIETER LANGEVELDT PRIMÊRE SKOOL</t>
  </si>
  <si>
    <t>PIETERSFONTEIN NGK PRIMÊRE SKOOL</t>
  </si>
  <si>
    <t>PIKETBERG CHRISTIAN SCHOOL</t>
  </si>
  <si>
    <t>PIKETBERG HOËRSKOOL</t>
  </si>
  <si>
    <t>PIKKEWYNTJIES PRESCHOOL</t>
  </si>
  <si>
    <t>PIKKIE PARADYS PREPRIM EN NASORGSENTRUM</t>
  </si>
  <si>
    <t>PIKKIELAND PREPRIMARY SCHOOL (CAPE TOWN)</t>
  </si>
  <si>
    <t>PINEDENE PRIMARY SCHOOL</t>
  </si>
  <si>
    <t>PINEHURST PRIMARY SCHOOL</t>
  </si>
  <si>
    <t>PINELANDS CRECHE</t>
  </si>
  <si>
    <t>PINELANDS HIGH SCHOOL</t>
  </si>
  <si>
    <t>PINELANDS MONTESSORI</t>
  </si>
  <si>
    <t>PINELANDS NORTH PRIMARY SCHOOL</t>
  </si>
  <si>
    <t>PINEVIEW PRIMÊRE SKOOL</t>
  </si>
  <si>
    <t>PIONIER-SKOOL</t>
  </si>
  <si>
    <t>PLANTATION PRIMARY SCHOOL</t>
  </si>
  <si>
    <t>PLETT PREPRIMARY SCHOOL</t>
  </si>
  <si>
    <t>PLETTENBERG BAY CHRISTIAN</t>
  </si>
  <si>
    <t>PLETTENBERG BAY PRIMARY SCHOOL</t>
  </si>
  <si>
    <t>PLETTENBERGBAAI SEKONDÊR</t>
  </si>
  <si>
    <t>PLUMSTEAD HIGH SCHOOL</t>
  </si>
  <si>
    <t>PLUMSTEAD PREPARATORY</t>
  </si>
  <si>
    <t>PNIEL PRIMÊRE SKOOL</t>
  </si>
  <si>
    <t>POMARIO PRIVATE SCHOOL</t>
  </si>
  <si>
    <t>PORTAVUE PRIMARY SCHOOL</t>
  </si>
  <si>
    <t>PORTERVILLE HOËRSKOOL</t>
  </si>
  <si>
    <t>PORTERVILLE PRIMÊRE SKOOL</t>
  </si>
  <si>
    <t>PORTEWOUTERS PRE-PRIMÊRE SKOOL</t>
  </si>
  <si>
    <t>PORTIA PRIMARY SCHOOL</t>
  </si>
  <si>
    <t>PORTLAND PRIMARY SCHOOL</t>
  </si>
  <si>
    <t>PORTLAND SECONDARY SCHOOL</t>
  </si>
  <si>
    <t>POSITIVE BEHAVIOUR INTERVENTION AND RESOURCE CENTR</t>
  </si>
  <si>
    <t>PRECIOUS LIGHTHOUSE ACADEMY</t>
  </si>
  <si>
    <t>PRESIDENT HOËRSKOOL</t>
  </si>
  <si>
    <t>PRESTWICH STREET PRIMARY SCHOOL</t>
  </si>
  <si>
    <t>PRIMROSE PARK PRIMARY SCHOOL</t>
  </si>
  <si>
    <t>PRINCE GEORGE PRIMARY SCHOOL</t>
  </si>
  <si>
    <t>PRINCETON HIGH SCHOOL</t>
  </si>
  <si>
    <t>PRINCIPIA INDEPENDENT SCHOOL</t>
  </si>
  <si>
    <t>PRINGLE HOUSE</t>
  </si>
  <si>
    <t>PRINS ALBERT PRIMÊRE SKOOL</t>
  </si>
  <si>
    <t>PRIVAATSKOOL SIMOND</t>
  </si>
  <si>
    <t>PROSPECT NGK PRIMÊRE SKOOL</t>
  </si>
  <si>
    <t>PROTEA HEIGHTS ACADEMY</t>
  </si>
  <si>
    <t>PROTEA HOËRSKOOL</t>
  </si>
  <si>
    <t>PROTEA PARK PRIMÊRE SKOOL</t>
  </si>
  <si>
    <t>PROTEA PRIMARY SCHOOL (BONTEHEUWEL)</t>
  </si>
  <si>
    <t>PROTEA PRIMÊRE SKOOL</t>
  </si>
  <si>
    <t>PROTEM NGK PRIMÊRE SKOOL</t>
  </si>
  <si>
    <t>PROTEUS SEKONDÊR</t>
  </si>
  <si>
    <t>PUNT HOËRSKOOL</t>
  </si>
  <si>
    <t>PURPOSE FINDER ACADEMY-NDABENI</t>
  </si>
  <si>
    <t>QHAMA EDUCARE CENTRE</t>
  </si>
  <si>
    <t>QHAMANI EDUCARE</t>
  </si>
  <si>
    <t>QHAYIYA SECONDARY SCHOOL</t>
  </si>
  <si>
    <t>QUEENS PARK HIGH SCHOOL</t>
  </si>
  <si>
    <t>R.R. FRANKS PRIMÊRE SKOOL</t>
  </si>
  <si>
    <t>RABBONI CHRISTIAN EDUCATION CENTRE W.C</t>
  </si>
  <si>
    <t>RABIE PRIMÊRE SKOOL</t>
  </si>
  <si>
    <t>RAHMANIYEH PRIMARY SCHOOL</t>
  </si>
  <si>
    <t>RAINBOW CHILD EDUCARE AND PREPRIMARY</t>
  </si>
  <si>
    <t>RAINBOW EARLY CHILDHOOD DEVELOPMENT CENTRE</t>
  </si>
  <si>
    <t>RAINBOW EDUCARE CENTRE</t>
  </si>
  <si>
    <t>RAINBOW LAND PREPRIMARY (BLOUBERGRANT)</t>
  </si>
  <si>
    <t>RAINBOW MONTESSORI SCHOOL</t>
  </si>
  <si>
    <t>RAINBOW OF HOPE EARLY LEARNING CENTRE</t>
  </si>
  <si>
    <t>RAINBOW PRIMARY SCHOOL</t>
  </si>
  <si>
    <t>RAITHBY PRIMÊRE SKOOL</t>
  </si>
  <si>
    <t>RALLIM MODERN LEARNING ENVIRONMENT</t>
  </si>
  <si>
    <t>RANGE PRIMARY SCHOOL</t>
  </si>
  <si>
    <t>RANGE SEKONDÊR</t>
  </si>
  <si>
    <t>RAPHAELI WALDORF SCHOOL</t>
  </si>
  <si>
    <t>RAVENSMEAD SEKONDÊR</t>
  </si>
  <si>
    <t>RAWSONVILLE PRIMÊRE SKOOL</t>
  </si>
  <si>
    <t>RED CROSS CHILDREN'S HOSPITAL</t>
  </si>
  <si>
    <t>RED RIVER PRIMARY SCHOOL</t>
  </si>
  <si>
    <t>REDDAM HOUSE</t>
  </si>
  <si>
    <t>REDDAM HOUSE ATLANTIC SEABOARD</t>
  </si>
  <si>
    <t>REDDAM HOUSE DURBANVILLE</t>
  </si>
  <si>
    <t>REDLANDS PRIMÊRE SKOOL</t>
  </si>
  <si>
    <t>REGINA COELI RC PRIMARY SCHOOL</t>
  </si>
  <si>
    <t>RENAISSANCE PRIVATE SCHOOL</t>
  </si>
  <si>
    <t>RENLYN'S MODERN MONTESORRI</t>
  </si>
  <si>
    <t>REPELSTEELTJIE DAGSORGSENTRUM</t>
  </si>
  <si>
    <t>RESTVALE MET PRIMÊRE SKOOL</t>
  </si>
  <si>
    <t>REYGERSDAL PRIMÊRE SKOOL</t>
  </si>
  <si>
    <t>RHEENENDAL PRIMÊRE SKOOL</t>
  </si>
  <si>
    <t>RHENISH GIRLS' HIGH SCHOOL</t>
  </si>
  <si>
    <t>RHENISH PRIMARY</t>
  </si>
  <si>
    <t>RHODES HIGH SCHOOL</t>
  </si>
  <si>
    <t>RIDGEVIEW PRIMARY SCHOOL</t>
  </si>
  <si>
    <t>RIDGEVILLE PRIMARY SCHOOL</t>
  </si>
  <si>
    <t>RIEBEECK VALLEY SPECIAL SCHOOL</t>
  </si>
  <si>
    <t>RIEBEECK-KASTEEL LAERSKOOL</t>
  </si>
  <si>
    <t>RIEBEECKSRIVIER VALLEI KLEUTERSKOOL</t>
  </si>
  <si>
    <t>RIEBEECKSTRAAT PRIMARY SCHOOL</t>
  </si>
  <si>
    <t>RIEBEECK-WES PRIMÊRE SKOOL</t>
  </si>
  <si>
    <t>RIETENBOSCH PRIMÊRE SKOOL</t>
  </si>
  <si>
    <t>RIETFONTEIN NGK PRIMÊRE SKOOL (WORC)</t>
  </si>
  <si>
    <t>RIETPOORT RK PRIMÊRE SKOOL</t>
  </si>
  <si>
    <t>RIETVLEI NR 1 EK PRIMÊRE SKOOL (MONTAGU)</t>
  </si>
  <si>
    <t>RIETVLEI NR 2 NGK PRIMÊRE SKOOL</t>
  </si>
  <si>
    <t>RIJK TULBAGH PRIVAATSKOOL</t>
  </si>
  <si>
    <t>RIO GRANDE PRIMARY SCHOOL</t>
  </si>
  <si>
    <t>RISING STAR ACADEMY</t>
  </si>
  <si>
    <t>RIVERGATE PRIMARY SCHOOL</t>
  </si>
  <si>
    <t>RIVERLANDS PRIMÊRE SKOOL</t>
  </si>
  <si>
    <t>RIVERSIDE COLLEGE</t>
  </si>
  <si>
    <t>RIVERSIDE PRIMARY SCHOOL</t>
  </si>
  <si>
    <t>RIVERTON PRIMÊRE SKOOL</t>
  </si>
  <si>
    <t>RIVERVIEW PRIMÊRE SKOOL</t>
  </si>
  <si>
    <t>RIVERWOOD PRIMARY SCHOOL</t>
  </si>
  <si>
    <t>RIVIERSONDEREND HOËRSKOOL</t>
  </si>
  <si>
    <t>RIVIERSONDEREND PRIMÊRE SKOOL</t>
  </si>
  <si>
    <t>ROBERTSON HOËRSKOOL</t>
  </si>
  <si>
    <t>ROBERTSON LAERSKOOL</t>
  </si>
  <si>
    <t>ROBERTSON LOGOS CHRISTIAN SCHOOL</t>
  </si>
  <si>
    <t>ROBERTSON VOORBEREIDINGSKOOL</t>
  </si>
  <si>
    <t>ROBINHILL SPECIAL SCHOOL</t>
  </si>
  <si>
    <t>ROBINVALE HIGH SCHOOL</t>
  </si>
  <si>
    <t>ROCKLANDS PRIMARY SCHOOL</t>
  </si>
  <si>
    <t>ROCKLANDS SECONDARY SCHOOL</t>
  </si>
  <si>
    <t>RODEWAL UCC PRIMÊRE SKOOL</t>
  </si>
  <si>
    <t>RONDEBOSCH BOYS' HIGH SCHOOL</t>
  </si>
  <si>
    <t>RONDEBOSCH BOYS' PREPARATORY</t>
  </si>
  <si>
    <t>RONDEBOSCH EAST PRIMARY SCHOOL</t>
  </si>
  <si>
    <t>RONDEHEUWEL PRIMÊRE SKOOL</t>
  </si>
  <si>
    <t>RONWE PRIMÊRE SKOOL</t>
  </si>
  <si>
    <t>ROODEWAL PRIMÊRE SKOOL</t>
  </si>
  <si>
    <t>ROODEZANDT SEKONDÊR</t>
  </si>
  <si>
    <t>ROOHA PREPRIMARY SCHOOL</t>
  </si>
  <si>
    <t>ROOIBERG SSKV PRIMÊRE SKOOL</t>
  </si>
  <si>
    <t>ROOIHEUWEL VGK PRIMÊRE SKOOL</t>
  </si>
  <si>
    <t>ROOIRIVIER VGK PRIMÊRE SKOOL</t>
  </si>
  <si>
    <t>ROSEBANK JUNIOR</t>
  </si>
  <si>
    <t>ROSEBANK PROGRESS COLLEGE</t>
  </si>
  <si>
    <t>ROSEMOOR PRIMÊRE SKOOL</t>
  </si>
  <si>
    <t>ROSEN CASTLE</t>
  </si>
  <si>
    <t>ROSENDAAL HIGH SCHOOL NO.2</t>
  </si>
  <si>
    <t>ROSENDAAL SEKONDÊR</t>
  </si>
  <si>
    <t>ROSENDAL LAERSKOOL</t>
  </si>
  <si>
    <t>ROSEWOOD PRIMARY SCHOOL</t>
  </si>
  <si>
    <t>ROSMEAD CENTRAL PRIMARY SCHOOL</t>
  </si>
  <si>
    <t>ROUXVILLE PRIMARY SCHOOL</t>
  </si>
  <si>
    <t>RUENS KOLLEGE VIR CHRISTELIKE ONDERWYS</t>
  </si>
  <si>
    <t>RUIGTEVLEI PRIMÊRE SKOOL</t>
  </si>
  <si>
    <t>RUITERBOS LAERSKOOL</t>
  </si>
  <si>
    <t>RUSTENBURG GIRLS' HIGH SCHOOL</t>
  </si>
  <si>
    <t>RUSTENBURG GIRLS' JUNIOR SCHOOL</t>
  </si>
  <si>
    <t>RUSTHOF PRIMÊRE SKOOL</t>
  </si>
  <si>
    <t>RUSTHOF SEKONDÊR</t>
  </si>
  <si>
    <t>RUSTHOF SKOOL</t>
  </si>
  <si>
    <t>RUSTSTASIE PRIMÊRE SKOOL</t>
  </si>
  <si>
    <t>RUTH FIRST EDUCARE CENTRE</t>
  </si>
  <si>
    <t>RUYTERWACHT VOORBEREIDINGSKOOL</t>
  </si>
  <si>
    <t>RYLANDS HIGH SCHOOL</t>
  </si>
  <si>
    <t>RYLANDS PRIMARY SCHOOL</t>
  </si>
  <si>
    <t>S.A. COLLEGE HIGH SCHOOL</t>
  </si>
  <si>
    <t>S.A. COLLEGE JUNIOR SCHOOL</t>
  </si>
  <si>
    <t>SAAMBOU PRIMÊRE SKOOL</t>
  </si>
  <si>
    <t>SAARTJIE SE DAGSORG SENTRUM</t>
  </si>
  <si>
    <t>SACRED HEART PRE-PRIMÊRE SKOOL</t>
  </si>
  <si>
    <t>SACRED HEART RK PRIMÊRE SKOOL</t>
  </si>
  <si>
    <t>SAFELY ANCHORED SMALL SCHOOL</t>
  </si>
  <si>
    <t>SAFFIER PRIMARY SCHOOL</t>
  </si>
  <si>
    <t>SAKHINGOMSO EDUCARE</t>
  </si>
  <si>
    <t>SAKUMLANDELA PRIMARY SCHOOL</t>
  </si>
  <si>
    <t>SALDANHA LAERSKOOL</t>
  </si>
  <si>
    <t>SALESIAN INSTITUTE YOUTH PROJECTS OPERATING AS LEA</t>
  </si>
  <si>
    <t>SALT RIVER SECONDARY SCHOOL</t>
  </si>
  <si>
    <t>SAMORA MACHEL PRIMARY SCHOOL</t>
  </si>
  <si>
    <t>SAMORA MACHELL EDUCARE</t>
  </si>
  <si>
    <t>SAN MICHELL INDEPENDENT SCHOOL</t>
  </si>
  <si>
    <t>SANDAALHOUT PRIMARY SCHOOL</t>
  </si>
  <si>
    <t>SANDANEZWE PREPRIMARY SCHOOL</t>
  </si>
  <si>
    <t>SANDBERG NGK PRIMÊRE SKOOL</t>
  </si>
  <si>
    <t>SANDHILLS NGK  PRIMÊRE SKOOL</t>
  </si>
  <si>
    <t>SANDVELD LS</t>
  </si>
  <si>
    <t>SANS SOUCI GIRLS' HIGH SCHOOL</t>
  </si>
  <si>
    <t>SAO BRAS SEKONDÊR</t>
  </si>
  <si>
    <t>SAREPTA PRIMARY SCHOOL</t>
  </si>
  <si>
    <t>SAREPTA SEKONDÊR</t>
  </si>
  <si>
    <t>SARON PRIMÊRE SKOOL</t>
  </si>
  <si>
    <t>SATURNUS PRIMÊRE SKOOL</t>
  </si>
  <si>
    <t>SAVVY COLLEGE</t>
  </si>
  <si>
    <t>SAWCO (KRAAIFONTEIN) PREPRIMARY SCHOOL</t>
  </si>
  <si>
    <t>SAXONSEA NO.2 HIGH SCHOOL</t>
  </si>
  <si>
    <t>SAXONSEA PREPRIMARY SCHOOL</t>
  </si>
  <si>
    <t>SAXONSEA PRIMÊRE SKOOL</t>
  </si>
  <si>
    <t>SAXONSEA SEKONDÊR</t>
  </si>
  <si>
    <t>SCHEEPERSKRAAL SSKV PRIMÊRE SKOOL</t>
  </si>
  <si>
    <t>SCHERPENHEUWEL PRIMÊRE SKOOL</t>
  </si>
  <si>
    <t>SCHOONSPRUIT SEKONDÊR</t>
  </si>
  <si>
    <t>SCHOTSCHEKLOOF MOS PRIMARY SCHOOL</t>
  </si>
  <si>
    <t>SCOTTSDENE HIGH SCHOOL</t>
  </si>
  <si>
    <t>SCOTTSVILLE PRIMARY SCHOOL</t>
  </si>
  <si>
    <t>SCOTTSVILLE SEKONDÊR</t>
  </si>
  <si>
    <t>SEA POINT HIGH SCHOOL</t>
  </si>
  <si>
    <t>SEA POINT PRIMARY SCHOOL</t>
  </si>
  <si>
    <t>SEABRIDGE SCHOOL</t>
  </si>
  <si>
    <t>SEAL COLLEGE</t>
  </si>
  <si>
    <t>SEAMOUNT PRIMARY</t>
  </si>
  <si>
    <t>SEARIDGE PARK PRIMARY SCHOOL</t>
  </si>
  <si>
    <t>SEAVIEW PRIMARY SCHOOL</t>
  </si>
  <si>
    <t>SEDERBERG PRIMÊRE SKOOL</t>
  </si>
  <si>
    <t>SEDGEFIELD LAERSKOOL</t>
  </si>
  <si>
    <t>SEDGEFIELD PRIMÊRE SKOOL</t>
  </si>
  <si>
    <t>SENTINEL PRIMARY SCHOOL</t>
  </si>
  <si>
    <t>SENTRAAL HOËRSKOOL</t>
  </si>
  <si>
    <t>SEVEN STEPS ACADEMY FOR THE DEAF</t>
  </si>
  <si>
    <t>SHALOM AKADEMIE</t>
  </si>
  <si>
    <t>SHALOM PREPRIMARY SCHOOL (SOMERSET-WEST)</t>
  </si>
  <si>
    <t>SHELANTI PRIVATE REMEDIAL SCHOOL</t>
  </si>
  <si>
    <t>SHILOH CENTRE OF LEARNING</t>
  </si>
  <si>
    <t>SHUTTLE KIDZ PREPRIMARY SCHOOL</t>
  </si>
  <si>
    <t>SIBABALWE PRIMARY SCHOOL</t>
  </si>
  <si>
    <t>SIBELIUS HOËRSKOOL</t>
  </si>
  <si>
    <t>SID G. RULE PRIMARY SCHOOL</t>
  </si>
  <si>
    <t>SIGCAWU PUBLIC PRIMARY SCHOOL</t>
  </si>
  <si>
    <t>SIKELELA IMIZAMO PRIMARY SCHOOL</t>
  </si>
  <si>
    <t>SIKHUTALE DAY CARE</t>
  </si>
  <si>
    <t>SILIKAMVA HIGH SCHOOL</t>
  </si>
  <si>
    <t>SILUKHANYO PRIMARY SCHOOL</t>
  </si>
  <si>
    <t>SILVERLEA PRIMARY SCHOOL</t>
  </si>
  <si>
    <t>SILVERLEAF PRIMARY SCHOOL</t>
  </si>
  <si>
    <t>SILVERMINE ACADEMY</t>
  </si>
  <si>
    <t>SILVERSANDS PRIMARY SCHOOL</t>
  </si>
  <si>
    <t>SILVERSANDS SECONDARY SCHOOL</t>
  </si>
  <si>
    <t>SILVERSTREAM PRIMARY SCHOOL</t>
  </si>
  <si>
    <t>SILVERSTREAM SCHOOL OF SKILLS</t>
  </si>
  <si>
    <t>SILVERSTROOM PREPRIMARY SCHOOL</t>
  </si>
  <si>
    <t>SILVERTOWN PREPRIMARY SCHOOL</t>
  </si>
  <si>
    <t>SILVERTREE (NWMHF) PREPRIMARY SCHOOL</t>
  </si>
  <si>
    <t>SIMANYENE SECONDARY SCHOOL</t>
  </si>
  <si>
    <t>SIMON VAN DER STEL PRIMÊRE SKOOL</t>
  </si>
  <si>
    <t>SIMONDIUM PRIMÊRE SKOOL</t>
  </si>
  <si>
    <t>SIMON'S TOWN SCHOOL</t>
  </si>
  <si>
    <t>SIMONSBERG PRIMARY SCHOOL</t>
  </si>
  <si>
    <t>SIMUNYE SEKONDÊR</t>
  </si>
  <si>
    <t>SINAKO HIGH SCHOOL</t>
  </si>
  <si>
    <t>SINENJONGO HIGH SCHOOL</t>
  </si>
  <si>
    <t>SINETHEMBA PRESCHOOL (PAARL)</t>
  </si>
  <si>
    <t>SINETHEMBA SECONDARY SCHOOL</t>
  </si>
  <si>
    <t>SIPHAMANDLA SECONDARY SCHOOL</t>
  </si>
  <si>
    <t>SIR LOWRY'S PASS PRIMÊRE SKOOL</t>
  </si>
  <si>
    <t>SISIPHIWO PREPRIMARY SCHOOL</t>
  </si>
  <si>
    <t>SITHEMBELE MATISO SECONDARY SCHOOL</t>
  </si>
  <si>
    <t>SIVILE PRIMARY SCHOOL</t>
  </si>
  <si>
    <t>SIVIWE SCHOOL OF SKILLS</t>
  </si>
  <si>
    <t>SIVUKILE PREPRIMARY SCHOOL</t>
  </si>
  <si>
    <t>SIVUNYIWE IKWEZI PRESCHOOL (GUGULETHU)</t>
  </si>
  <si>
    <t>SIVUYILE NURRUDIN PRESCHOOL</t>
  </si>
  <si>
    <t>SIVUYISENI PUBLIC PRIMARY SCHOOL</t>
  </si>
  <si>
    <t>SIYABULELA PREPRIMARY SCHOOL</t>
  </si>
  <si>
    <t>SIYABULELA PRIMARY SCHOOL</t>
  </si>
  <si>
    <t>SIYAFUNEKA PRIMARY SCHOOL</t>
  </si>
  <si>
    <t>SIYAYA EDUCARE</t>
  </si>
  <si>
    <t>SIYAZAKHA PRIMARY SCHOOL</t>
  </si>
  <si>
    <t>SIYAZAMA EDUCARE</t>
  </si>
  <si>
    <t>SIYAZAMA EDUCARE CENTRE (HOUT BAY)</t>
  </si>
  <si>
    <t>SIYAZINGISA PRIMARY SCHOOL</t>
  </si>
  <si>
    <t>SIZIMISELE SECONDARY SCHOOL</t>
  </si>
  <si>
    <t>SIZISA UKHANYO PRESCHOOL</t>
  </si>
  <si>
    <t>SKOOL IN DIE WILDERNIS</t>
  </si>
  <si>
    <t>SKULPIELAND KLEUTERSKOOL</t>
  </si>
  <si>
    <t>SKURWEBERG SEKONDÊRE SKOOL</t>
  </si>
  <si>
    <t>SLANGHOEK NGK PRIMÊRE SKOOL</t>
  </si>
  <si>
    <t>SLANGRIVIER PRIMÊRE SKOOL</t>
  </si>
  <si>
    <t>SLIMKOPPIES PRIVAATSKOOL</t>
  </si>
  <si>
    <t>SLOT VAN DIE PAARL PRIMÊRE SKOOL</t>
  </si>
  <si>
    <t>SMALL SAINTS PREPRIMARY SCHOOL</t>
  </si>
  <si>
    <t>SNAP ACADEMY</t>
  </si>
  <si>
    <t>SOBAMBISANA PRIMARY SCHOOL</t>
  </si>
  <si>
    <t>SOETE UURTJIES DAGSORG</t>
  </si>
  <si>
    <t>SOETENDAL NGK PRIMÊRE SKOOL</t>
  </si>
  <si>
    <t>SOKHANYO PRIMARY SCHOOL</t>
  </si>
  <si>
    <t>SOLOMON MAHLANGU PRIMARY SCHOOL</t>
  </si>
  <si>
    <t>SOLOMON QATYANA PRIMARY SCHOOL</t>
  </si>
  <si>
    <t>SOMERSET COLLEGE</t>
  </si>
  <si>
    <t>SOMERSET HIGH SCHOOL</t>
  </si>
  <si>
    <t>SOMERSET HOUSE PREPARATORY</t>
  </si>
  <si>
    <t>SOMERSET STRAND SHARE AND CARE</t>
  </si>
  <si>
    <t>SOMERSET WEST PRIVATE SCHOOL</t>
  </si>
  <si>
    <t>SOMERSET-WES LAERSKOOL</t>
  </si>
  <si>
    <t>SOMERSET-WES MET PRIMARY SCHOOL</t>
  </si>
  <si>
    <t>SOMLANDELA PRESCHOOL</t>
  </si>
  <si>
    <t>SONDEREND PRIMARY SCHOOL</t>
  </si>
  <si>
    <t>SONEIKE HIGH SCHOOL</t>
  </si>
  <si>
    <t>SONEIKE PRIVATE SCHOOL</t>
  </si>
  <si>
    <t>SONEIKE PRIVATE SCHOOL-VAN RIEBEECK ROAD</t>
  </si>
  <si>
    <t>SONNEBLOMLAND CRECHE</t>
  </si>
  <si>
    <t>SONOP PRIMÊRE SKOOL</t>
  </si>
  <si>
    <t>SONSKYNLAND KLEUTERSKOOL</t>
  </si>
  <si>
    <t>SONWABO PRIMARY SCHOOL</t>
  </si>
  <si>
    <t>SOPHAKAMA PRIMARY SCHOOL</t>
  </si>
  <si>
    <t>SOPHUMELELA PREPRIMARY SCHOOL</t>
  </si>
  <si>
    <t>SOPHUMELELA SECONDARY SCHOOL</t>
  </si>
  <si>
    <t>SOS CHILDREN'S VILLAGE KINDERGARTEN</t>
  </si>
  <si>
    <t>SOSEBENZA PRIMARY SCHOOL</t>
  </si>
  <si>
    <t>SOUTH PENINSULA HIGH SCHOOL</t>
  </si>
  <si>
    <t>SOUTHFIELD PRIMARY SCHOOL</t>
  </si>
  <si>
    <t>SOUTHGATE ACADEMY</t>
  </si>
  <si>
    <t>SOYISILE PRIMARY SCHOOL</t>
  </si>
  <si>
    <t>SPEELLAND/PLAYLAND PREPRIMARY SCHOOL</t>
  </si>
  <si>
    <t>SPES BONA HIGH SCHOOL</t>
  </si>
  <si>
    <t>SPINE ROAD HIGH SCHOOL</t>
  </si>
  <si>
    <t>SPINE VIEW PRIMARY SCHOOL</t>
  </si>
  <si>
    <t>SPLENDID KIDS</t>
  </si>
  <si>
    <t>SPRINGDALE PRIMARY SCHOOL</t>
  </si>
  <si>
    <t>SPRINGFIELD CONVENT OF THE HOLY ROSARY</t>
  </si>
  <si>
    <t>SPRUITDRIFT PRIMÊRE SKOOL</t>
  </si>
  <si>
    <t>SPURWING PRIMARY SCHOOL</t>
  </si>
  <si>
    <t>SQUARE HILL PRIMARY SCHOOL</t>
  </si>
  <si>
    <t>ST. AGNES'S PRIMARY SCHOOL</t>
  </si>
  <si>
    <t>ST. ALBANS PRIMÊRE SKOOL</t>
  </si>
  <si>
    <t>ST. ANDREW'S PRIMÊRE SKOOL</t>
  </si>
  <si>
    <t>ST. ANDREW'S SEKONDÊR</t>
  </si>
  <si>
    <t>ST. ANNE'S PRIMARY SCHOOL</t>
  </si>
  <si>
    <t>ST. ANTHONY'S RC PRIMARY SCHOOL</t>
  </si>
  <si>
    <t>ST. AUGUSTINE'S PRIMÊRE SKOOL</t>
  </si>
  <si>
    <t>ST. AUGUSTINE'S RC PRIMARY SCHOOL</t>
  </si>
  <si>
    <t>ST. AUGUSTINE'S RC PRIMARY SCHOOL PAROW</t>
  </si>
  <si>
    <t>ST. BLAIZE RK PRIMÊRE SKOOL</t>
  </si>
  <si>
    <t>ST. BONIFACE (RK) PRIMÊRE SKOOL</t>
  </si>
  <si>
    <t>ST. CLEMENTS RC PRIMARY SCHOOL</t>
  </si>
  <si>
    <t>ST. CYPRIAN'S SCHOOL</t>
  </si>
  <si>
    <t>ST. FRANCIS (STFT) PREPRIMARY SCHOOL</t>
  </si>
  <si>
    <t>ST. GEORGE'S GRAMMAR SCHOOL</t>
  </si>
  <si>
    <t>ST. HELENABAAI INTERMEDIATE SCHOOL</t>
  </si>
  <si>
    <t>ST. IDAS RK PRIMÊRE SKOOL</t>
  </si>
  <si>
    <t>ST. JAMES RC PRIMARY SCHOOL</t>
  </si>
  <si>
    <t>ST. JOHN'S EK PRIMÊRE SKOOL</t>
  </si>
  <si>
    <t>ST. JOHN'S PREPRIMARY SCHOOL</t>
  </si>
  <si>
    <t>ST. JOHN'S RC PRIMARY SCHOOL</t>
  </si>
  <si>
    <t>ST. JOSEPH'S COLLEGE</t>
  </si>
  <si>
    <t>ST. JOSEPH'S MARIST JUNIOR</t>
  </si>
  <si>
    <t>ST. JOSEPH'S SCHOOL</t>
  </si>
  <si>
    <t>ST. KONRAD RK PRIMÊRE SKOOL</t>
  </si>
  <si>
    <t>ST. KONRADS PRE-PRIMÊRE SKOOL</t>
  </si>
  <si>
    <t>ST. LUKE'S (EC) SCHOOL</t>
  </si>
  <si>
    <t>ST. MARK'S PRIMÊRE SKOOL (WORC)</t>
  </si>
  <si>
    <t>ST. MARTIN WIELIE WALIE VOORSKOOL</t>
  </si>
  <si>
    <t>ST. MARY'S (RC) PRIMARY (NYANGA)</t>
  </si>
  <si>
    <t>ST. MARY'S PRIMARY SCHOOL (GARDENS)</t>
  </si>
  <si>
    <t>ST. MARY'S RC PRIMARY SCHOOL(RETREAT)</t>
  </si>
  <si>
    <t>ST. MARY'S RK PRIMÊRE SKOOL (GEORGE)</t>
  </si>
  <si>
    <t>ST. MATTHEWS PRIMÊRE SKOOL</t>
  </si>
  <si>
    <t>ST. MICHAEL'S EK PRIMÊRE SKOOL</t>
  </si>
  <si>
    <t>ST. MICHAELS PRIMARY SCHOOL (KHAYELITSHA)</t>
  </si>
  <si>
    <t>ST. MICHAEL'S PRIMÊRE SKOOL</t>
  </si>
  <si>
    <t>ST. PAUL'S EK PRIMÊRE SKOOL (GEORGE)</t>
  </si>
  <si>
    <t>ST. PAUL'S LAERSKOOL</t>
  </si>
  <si>
    <t>ST. PAUL'S PRIMARY SCHOOL (BO-KAAP)</t>
  </si>
  <si>
    <t>ST. PAUL'S PRIMÊRE SKOOL</t>
  </si>
  <si>
    <t>ST. PETER'S ACADEMY</t>
  </si>
  <si>
    <t>ST. RAPHAEL'S RC PRIMARY SCHOOL</t>
  </si>
  <si>
    <t>ST. STEPHENS PREPRIMARY SCHOOL</t>
  </si>
  <si>
    <t>ST. THERESA R.C. PRIMARY SCHOOL</t>
  </si>
  <si>
    <t>ST. THOMAS PRIMÊRE SKOOL</t>
  </si>
  <si>
    <t>ST. VINCENT RC PRIMARY SCHOOL</t>
  </si>
  <si>
    <t>STAR COLLEGE - BRIDGETOWN</t>
  </si>
  <si>
    <t>STAR COLLEGE CAPE TOWN</t>
  </si>
  <si>
    <t>STAR OF THE SEA CONVENT PRIMARY SCHOOL</t>
  </si>
  <si>
    <t>STAR SCHOOLS (PTY) (LTD)</t>
  </si>
  <si>
    <t>STARLING PRIMARY SCHOOL</t>
  </si>
  <si>
    <t>STAWELKLIP MOR PRIMÊRE SKOOL</t>
  </si>
  <si>
    <t>STEENBERG PRIMARY</t>
  </si>
  <si>
    <t>STEENBERG SECONDARY SCHOOL</t>
  </si>
  <si>
    <t>STEENBERG'S COVE PRIMÊRE SKOOL</t>
  </si>
  <si>
    <t>STEENVLIET PRIMÊRE SKOOL</t>
  </si>
  <si>
    <t>STEILHOOGTE NGK PRIMÊRE SKOOL</t>
  </si>
  <si>
    <t>STEINTHAL VAARDIGHEIDSKOOL</t>
  </si>
  <si>
    <t>STELIOS ACADEMY</t>
  </si>
  <si>
    <t>STELLENBERG HOËRSKOOL</t>
  </si>
  <si>
    <t>STELLENBOSCH HOËRSKOOL</t>
  </si>
  <si>
    <t>STELLENBOSCH LAERSKOOL</t>
  </si>
  <si>
    <t>STELLENBOSCH WALDORF SCHOOL</t>
  </si>
  <si>
    <t>STELLENZICHT SEKONDÊR</t>
  </si>
  <si>
    <t>STEPHENWEG PRIMARY SCHOOL</t>
  </si>
  <si>
    <t>STEPPING STONES (RED CROSS) PREPRIMARY</t>
  </si>
  <si>
    <t>STEPPING STONES CHILDREN'S CENTRE</t>
  </si>
  <si>
    <t>STERRELIGGIELAND PREPRIMARY</t>
  </si>
  <si>
    <t>STETTYN PRIMÊRE SKOOL</t>
  </si>
  <si>
    <t>STEYNVILLE PRIMÊRE SKOOL</t>
  </si>
  <si>
    <t>STEYNVILLE SEKONDÊR</t>
  </si>
  <si>
    <t>STOCKWELL NGK PRIMÊRE SKOOL</t>
  </si>
  <si>
    <t>STONEFOUNTAIN COLLEGE - KENILWORTH</t>
  </si>
  <si>
    <t>STORMONT MADUBELA COMMUNITY SCHOOL</t>
  </si>
  <si>
    <t>STRAND HOËRSKOOL</t>
  </si>
  <si>
    <t>STRAND MOS PRIMARY SCHOOL</t>
  </si>
  <si>
    <t>STRAND PRIVATE ACADEMY</t>
  </si>
  <si>
    <t>STRAND SEKONDÊR</t>
  </si>
  <si>
    <t>STRANDFONTEIN PRIMARY SCHOOL</t>
  </si>
  <si>
    <t>STRANDFONTEIN SEKONDER</t>
  </si>
  <si>
    <t>STRANDLOPERTJIE PREPRIMARY SCHOOL</t>
  </si>
  <si>
    <t>STRATFORD PRIMARY SCHOOL</t>
  </si>
  <si>
    <t>STRUISBAAI PRIMÊRE SKOOL</t>
  </si>
  <si>
    <t>STUDY HOUSE</t>
  </si>
  <si>
    <t>SULLIVAN PRIMARY SCHOOL</t>
  </si>
  <si>
    <t>SUMMERDALE HIGH SCHOOL</t>
  </si>
  <si>
    <t>SUMMIT PRIMARY SCHOOL</t>
  </si>
  <si>
    <t>SUN VALLEY PRIMARY SCHOOL</t>
  </si>
  <si>
    <t>SUNDERLAND PRIMARY SCHOOL</t>
  </si>
  <si>
    <t>SUNLANDS PRIMARY SCHOOL</t>
  </si>
  <si>
    <t>SUNNINGDALE PRIMARY SCHOOL</t>
  </si>
  <si>
    <t>SUNNINGDALE PRIVATE SCHOOL</t>
  </si>
  <si>
    <t>SUNNYSIDE PRIMARY SCHOOL</t>
  </si>
  <si>
    <t>SUNRAY PRIMARY SCHOOL</t>
  </si>
  <si>
    <t>SUNRIDGE CIRCLE HIGH SCHOOL</t>
  </si>
  <si>
    <t>SUNRIDGE CIRCLE PRIMARY SCHOOL</t>
  </si>
  <si>
    <t>SUNRIDGE PRIMÊRE SKOOL</t>
  </si>
  <si>
    <t>SURREY PRIMARY SCHOOL</t>
  </si>
  <si>
    <t>SUURBRAAK PRIMÊRE SKOOL</t>
  </si>
  <si>
    <t>SWARTBERG PRIMÊRE SKOOL</t>
  </si>
  <si>
    <t>SWARTBERG SEKONDÊR</t>
  </si>
  <si>
    <t>SWARTLAND HOËRSKOOL</t>
  </si>
  <si>
    <t>SWARTLAND LAERSKOOL</t>
  </si>
  <si>
    <t>SWARTLAND PREPRIMARY SCHOOL</t>
  </si>
  <si>
    <t>SWEET VALLEY PRIMARY SCHOOL</t>
  </si>
  <si>
    <t>SWELLENDAM HOËRSKOOL</t>
  </si>
  <si>
    <t>SWELLENDAM LAERSKOOL</t>
  </si>
  <si>
    <t>SWELLENDAM SEKONDÊR</t>
  </si>
  <si>
    <t>SYMPHONY PRIMARY SCHOOL</t>
  </si>
  <si>
    <t>SYMPHONY SEKONDÊR</t>
  </si>
  <si>
    <t>T.M. NDANDA PRIMARY SCHOOL</t>
  </si>
  <si>
    <t>TABATHA PRIMARY SCHOOL</t>
  </si>
  <si>
    <t>TABLE VIEW HOËRSKOOL</t>
  </si>
  <si>
    <t>TABLE VIEW PRIMARY SCHOOL</t>
  </si>
  <si>
    <t>TAFELBERGSKOOL</t>
  </si>
  <si>
    <t>TAFELRONDE UITSIG CRECHE (ACVV)</t>
  </si>
  <si>
    <t>TAFELSIG PRIMARY SCHOOL</t>
  </si>
  <si>
    <t>TAFELSIG SEKONDÊR</t>
  </si>
  <si>
    <t>TALANA NGK PRIMÊRE SKOOL</t>
  </si>
  <si>
    <t>TALANJA PREPRIMARY SCHOOL</t>
  </si>
  <si>
    <t>TALFALAH PRIMARY SCHOOL</t>
  </si>
  <si>
    <t>TAMBOERSKLOOF PRIMARY SCHOOL</t>
  </si>
  <si>
    <t>TANDFONTEIN NGK PRIMÊRE SKOOL</t>
  </si>
  <si>
    <t>TATE INTERNATIONAL SCHOOL</t>
  </si>
  <si>
    <t>TEMBALETU</t>
  </si>
  <si>
    <t>TEMPERANCE TOWN PRIMÊRE SKOOL</t>
  </si>
  <si>
    <t>TEREO PROJECT</t>
  </si>
  <si>
    <t>TESKE GEDENK PRIMÊRE SKOOL</t>
  </si>
  <si>
    <t>TESLAARSDAL PRIMÊRE SKOOL</t>
  </si>
  <si>
    <t>THANDOKHULU SECONDARY SCHOOL</t>
  </si>
  <si>
    <t>THE ACADEMY HOUT BAY TRADING AS THE BAY ACADEMY</t>
  </si>
  <si>
    <t>THE ANGEL STARFISH EDUCARE CENTRE</t>
  </si>
  <si>
    <t>THE ARK CITY OF REFUGE TRADING AS THE ARK CHRISTIA</t>
  </si>
  <si>
    <t>THE BAY ACADEMY</t>
  </si>
  <si>
    <t>THE CHILDREN'S STUDIO</t>
  </si>
  <si>
    <t>THE CRAGS PRIMÊRE SKOOL</t>
  </si>
  <si>
    <t>THE DREAMTREE SCHOOL</t>
  </si>
  <si>
    <t>THE GLEBE PRIMÊRE SKOOL</t>
  </si>
  <si>
    <t>THE HAGUE PRIMARY SCHOOL</t>
  </si>
  <si>
    <t>THE HILL PREPRIMARY SCHOOL</t>
  </si>
  <si>
    <t>THE HONEYBUSH COLLECTIVE (PTY) LTD</t>
  </si>
  <si>
    <t>THE JACK MEYER ART CENTRE</t>
  </si>
  <si>
    <t>THE KUSASA PROJECT</t>
  </si>
  <si>
    <t>THE LEADERSHIP COLLEGE</t>
  </si>
  <si>
    <t>THE LEADERSHIP COLLEGE TRADING AS TLC ACADEMY</t>
  </si>
  <si>
    <t>THE OAKS ACADEMY</t>
  </si>
  <si>
    <t>THE PEBBLES PROJECT TRUST</t>
  </si>
  <si>
    <t>THE PETER CLARKE ART CENTRE</t>
  </si>
  <si>
    <t>THE PINELANDS PRIMARY SCHOOL</t>
  </si>
  <si>
    <t>THE ROCK ACADEMY</t>
  </si>
  <si>
    <t>THE SETTLERS HIGH SCHOOL</t>
  </si>
  <si>
    <t>THE SINAI ACADEMY</t>
  </si>
  <si>
    <t>THE SUSTAINABILITY INSTITUTE TRUST OPERATING AS LY</t>
  </si>
  <si>
    <t>THE TUTOR HUB LEARNING CENTRE</t>
  </si>
  <si>
    <t>THE VALLEY PRIMÊRE SKOOL</t>
  </si>
  <si>
    <t>THE VILLAGE EDUCARE CENTRE AND PREPRIMARY</t>
  </si>
  <si>
    <t>THE VINE SCHOOL NPC</t>
  </si>
  <si>
    <t>THEMBALETHU SECONDARY SCHOOL</t>
  </si>
  <si>
    <t>THEMBALETU PRIMARY SCHOOL</t>
  </si>
  <si>
    <t>THEMBANI EDUCARE CENTRE</t>
  </si>
  <si>
    <t>THEMBANI PRIMARY SCHOOL</t>
  </si>
  <si>
    <t>THEMBELIHLE HIGH SCHOOL</t>
  </si>
  <si>
    <t>THEMBELITSHA PRIMARY SCHOOL</t>
  </si>
  <si>
    <t>THOMAS WILDSCHUTT JUNIOR PRIMARY SCHOOL</t>
  </si>
  <si>
    <t>THOMAS WILDSCHUTT PRIMARY SCHOOL</t>
  </si>
  <si>
    <t>THORNTON PRIMARY SCHOOL</t>
  </si>
  <si>
    <t>THORNTONWEG PRIMARY SCHOOL</t>
  </si>
  <si>
    <t>THREE PEAKS PRIMARY SCHOOL</t>
  </si>
  <si>
    <t>TIMOUR HALL PRIMARY SCHOOL</t>
  </si>
  <si>
    <t>TODDLERS COLLEGE PREPRIMARY SCHOOL</t>
  </si>
  <si>
    <t>TOTIUS PRIMÊRE SKOOL</t>
  </si>
  <si>
    <t>TOUWSRANTEN VGK PRIMÊRE SKOOL</t>
  </si>
  <si>
    <t>TOUWSRIVIER LAERSKOOL</t>
  </si>
  <si>
    <t>TOWERKOP PRIMÊRE SKOOL</t>
  </si>
  <si>
    <t>TRAFALGAR SECONDARY SCHOOL</t>
  </si>
  <si>
    <t>TRAWAL PRIMÊRE SKOOL</t>
  </si>
  <si>
    <t>TREKVOELTJIES PREPRIMARY SCHOOL</t>
  </si>
  <si>
    <t>TREVOR MANUEL PRIMARY SCHOOL</t>
  </si>
  <si>
    <t>TRINITY CHILDREN'S CENTRE</t>
  </si>
  <si>
    <t>TRINITY PRIMARY SCHOOL</t>
  </si>
  <si>
    <t>TULBAGH HOËRSKOOL</t>
  </si>
  <si>
    <t>TULBAGH PRE-PRIMÊRE SKOOL</t>
  </si>
  <si>
    <t>TURFHALL PRIMARY SCHOOL</t>
  </si>
  <si>
    <t>TUSCANY GLEN PRIMARY SCHOOL</t>
  </si>
  <si>
    <t>TUSCANY GLEN SECONDARY SCHOOL</t>
  </si>
  <si>
    <t>TUTORING (PTY) LTD TRADING AS HEURISTIC ACADEMY</t>
  </si>
  <si>
    <t>TWEE JONGE GEZELLEN VGK PRIMÊRE SKOOL</t>
  </si>
  <si>
    <t>TWO OCEANS LEADERSHIP ACADEMY</t>
  </si>
  <si>
    <t>TYGERBERG HOËRSKOOL</t>
  </si>
  <si>
    <t>TYGERBERG HOSPITAALSKOOL</t>
  </si>
  <si>
    <t>TYGERBERG KUNSSENTRUM</t>
  </si>
  <si>
    <t>TYGERBERG STEM ACADEMY</t>
  </si>
  <si>
    <t>TYGERHOF PRIMARY SCHOOL</t>
  </si>
  <si>
    <t>TYGERSIG PRIMÊRE SKOOL</t>
  </si>
  <si>
    <t>TYHOLORA PRIMARY SCHOOL</t>
  </si>
  <si>
    <t>UBUKHOBAKHE EDUCARE</t>
  </si>
  <si>
    <t>UBUNTU FOOTBALL ACADEMY</t>
  </si>
  <si>
    <t>UBUNYE EDUCENTRE</t>
  </si>
  <si>
    <t>UITKYK LAERSKOOL</t>
  </si>
  <si>
    <t>UITKYK PRIMÊRE SKOOL</t>
  </si>
  <si>
    <t>UITNOOD NGK PRIMÊRE SKOOL</t>
  </si>
  <si>
    <t>UITSIG PRIMÊRE SKOOL</t>
  </si>
  <si>
    <t>UITVLUG VGK PRIMÊRE SKOOL</t>
  </si>
  <si>
    <t>UKHANYO PRIMARY SCHOOL</t>
  </si>
  <si>
    <t>ULUNTU PREPRIMARY SCHOOL</t>
  </si>
  <si>
    <t>UMMANGALISO PRIMARY SCHOOL</t>
  </si>
  <si>
    <t>UMNQOPHISO PRIMARY SCHOOL</t>
  </si>
  <si>
    <t>UMTHAWELANGA PRIMARY SCHOOL</t>
  </si>
  <si>
    <t>UMYEZO WAMA APILE HIGH SCHOOL</t>
  </si>
  <si>
    <t>UMYEZO WAMA APILE PRIMARY SCHOOL</t>
  </si>
  <si>
    <t>UNIONDALE HOËRSKOOL</t>
  </si>
  <si>
    <t>UP WITH DOWNS SCHOOL</t>
  </si>
  <si>
    <t>USASAZO SECONDARY SCHOOL</t>
  </si>
  <si>
    <t>UVUYOLWETHU EDUCARE</t>
  </si>
  <si>
    <t>UXOLO HIGH SCHOOL</t>
  </si>
  <si>
    <t>VAATJIE MOR PRIMÊRE SKOOL</t>
  </si>
  <si>
    <t>VALENTURE INSTITUTE</t>
  </si>
  <si>
    <t>VALHALLA PRIMARY SCHOOL</t>
  </si>
  <si>
    <t>VALHALLA SEKONDÊRE SKOOL</t>
  </si>
  <si>
    <t>VALLEY PREPRIMARY SCHOOL</t>
  </si>
  <si>
    <t>VALMARY PARK PREPRIMARY SCHOOL</t>
  </si>
  <si>
    <t>VALPARK PRIMÊRE SKOOL</t>
  </si>
  <si>
    <t>VALSBAAI HOËRSKOOL</t>
  </si>
  <si>
    <t>VAN DER HOVEN LAERSKOOL</t>
  </si>
  <si>
    <t>VAN KERVEL SPESIALE SKOOL</t>
  </si>
  <si>
    <t>VAN REEDE LAERSKOOL</t>
  </si>
  <si>
    <t>VAN RIEBEECKSTRAND LAERSKOOL</t>
  </si>
  <si>
    <t>VAN WYKSDORP PRIMÊRE SKOOL</t>
  </si>
  <si>
    <t>VAN WYKSVLEI PRIMARY SCHOOL</t>
  </si>
  <si>
    <t>VANGUARD PRIMARY SCHOOL</t>
  </si>
  <si>
    <t>VANRHYNSDORP HOËRSKOOL</t>
  </si>
  <si>
    <t>VELDDRIF HOËRSKOOL</t>
  </si>
  <si>
    <t>VERA-SCHOOL</t>
  </si>
  <si>
    <t>VERENIGING VIR GEREFORMEERDE SKOOLONDERWYS TE KAAP</t>
  </si>
  <si>
    <t>VERGENOEG RK PRIMÊRE SKOOL</t>
  </si>
  <si>
    <t>VERGENOEGD PRIMARY SCHOOL</t>
  </si>
  <si>
    <t>VERGESIG PRIMÊRE SKOOL</t>
  </si>
  <si>
    <t>VERGEZICHT PRIVATE SCHOOL</t>
  </si>
  <si>
    <t>VICTORIAPARK PRIMARY SCHOOL</t>
  </si>
  <si>
    <t>VILLAGE TODS PREPRIMARY SCHOOL</t>
  </si>
  <si>
    <t>VILLIERSDORP SEKONDÊR</t>
  </si>
  <si>
    <t>VINKRIVIER PRIMÊRE SKOOL</t>
  </si>
  <si>
    <t>VISION AFRIKA</t>
  </si>
  <si>
    <t>VISSERSHOK PRIMÊRE SKOOL</t>
  </si>
  <si>
    <t>VISTA HIGH SCHOOL</t>
  </si>
  <si>
    <t>VISTA NOVA-SCHOOL</t>
  </si>
  <si>
    <t>VLAKTEPLAAS UCC PRIMÊRE SKOOL</t>
  </si>
  <si>
    <t>VLEIPLAAS NGK PRIMÊRE SKOOL</t>
  </si>
  <si>
    <t>VLINDERLAND KLEUTERSKOOL</t>
  </si>
  <si>
    <t>VLOTTENBURG PRIMÊRE SKOOL</t>
  </si>
  <si>
    <t>VOETSPOORTJIES KINDER AKADEMIE</t>
  </si>
  <si>
    <t>VOLMOED PRIMÊRE SKOOL</t>
  </si>
  <si>
    <t>VOLSCHENK LAERSKOOL</t>
  </si>
  <si>
    <t>VONDELING NAK PRIMÊRE SKOOL</t>
  </si>
  <si>
    <t>VONKELOGIES ECD CENTRE</t>
  </si>
  <si>
    <t>VOORBEDAG PRIMÊRE SKOOL</t>
  </si>
  <si>
    <t>VOORBRUG SEKONDÊR</t>
  </si>
  <si>
    <t>VOORSORG NGK PRIMÊRE SKOOL</t>
  </si>
  <si>
    <t>VOORSPOED PRIMARY SCHOOL</t>
  </si>
  <si>
    <t>VOORTREKKER HOËRSKOOL</t>
  </si>
  <si>
    <t>VOORUITSIG PRIMÊRE SKOOL</t>
  </si>
  <si>
    <t>VOORWAARTS PRIMÊRE SKOOL</t>
  </si>
  <si>
    <t>VORENTOE LAERSKOOL</t>
  </si>
  <si>
    <t>VORENTOE PRIMARY SCHOOL</t>
  </si>
  <si>
    <t>VREDEKLOOF PRIMARY</t>
  </si>
  <si>
    <t>VREDELUST COLLEGE</t>
  </si>
  <si>
    <t>VREDELUST PRIMARY SCHOOL</t>
  </si>
  <si>
    <t>VREDENBURG HOËRSKOOL</t>
  </si>
  <si>
    <t>VREDENBURG LAERSKOOL</t>
  </si>
  <si>
    <t>VREDENDAL HOËRSKOOL</t>
  </si>
  <si>
    <t>VREDENDAL LAERSKOOL</t>
  </si>
  <si>
    <t>VREDENDAL SEKONDÊR</t>
  </si>
  <si>
    <t>VREDENDAL-NOORD PRIMÊRE SKOOL</t>
  </si>
  <si>
    <t>VREDENHEIM AKADEMIE</t>
  </si>
  <si>
    <t>VRIJZEE VOORBEREIDINGSKOOL</t>
  </si>
  <si>
    <t>VROLIKE VINKIES EDUCARE</t>
  </si>
  <si>
    <t>VRT PITT PRIMARY SCHOOL</t>
  </si>
  <si>
    <t>VUKANI PRIMARY SCHOOL</t>
  </si>
  <si>
    <t>VUKUKHANYE PREPRIMARY (PAARL)</t>
  </si>
  <si>
    <t>VUKUKHANYE PRIMARY SCHOOL</t>
  </si>
  <si>
    <t>VUSELELA PRIMARY SCHOOL</t>
  </si>
  <si>
    <t>VUSISIZWE SECONDARY SCHOOL</t>
  </si>
  <si>
    <t>VUURVLIEGIE AKADEMIE</t>
  </si>
  <si>
    <t>VUYANI PRIMARY SCHOOL</t>
  </si>
  <si>
    <t>VUYISEKA SECONDARY SCHOOL</t>
  </si>
  <si>
    <t>VUZAMANZI PUBLIC PRIMARY SCHOOL</t>
  </si>
  <si>
    <t>VUZOKUHLE PREPRIMARY SCHOOL</t>
  </si>
  <si>
    <t>VYEBOOM CHRISTELIKE PRIVAATSKOOL</t>
  </si>
  <si>
    <t>W.A. JOUBERT PRIMÊRE SKOOL</t>
  </si>
  <si>
    <t>W.A. ROSSOUW PRIMÊRE SKOOL</t>
  </si>
  <si>
    <t>W.D. HENDRICKS PRIMARY SCHOOL</t>
  </si>
  <si>
    <t>W.F. LOOTS PRIMARY SCHOOL</t>
  </si>
  <si>
    <t>W.J. LE ROUX LB PRIMÊRE SKOOL</t>
  </si>
  <si>
    <t>WABOOMSHEUWEL NGK PRIMÊRE SKOOL</t>
  </si>
  <si>
    <t>WABOOMSKRAAL VGK PRIMÊRE SKOOL</t>
  </si>
  <si>
    <t>WAGENHUISKRANTZ PRIMÊRE SKOOL</t>
  </si>
  <si>
    <t>WAGENMAKERSVALLEI NGK PRIMÊRE SKOOL</t>
  </si>
  <si>
    <t>WAKKERSTROOM-OOS NGK PRIMÊRE SKOOL</t>
  </si>
  <si>
    <t>WAKKERSTROOM-WES PRIMÊRE SKOOL</t>
  </si>
  <si>
    <t>WALLACEDENE PRIMARY SCHOOL</t>
  </si>
  <si>
    <t>WALLACEDENE SECONDARY SCHOOL</t>
  </si>
  <si>
    <t>WALMER ESTATE PRIMARY SCHOOL</t>
  </si>
  <si>
    <t>WALMER SECONDARY SCHOOL</t>
  </si>
  <si>
    <t>WALTER TEKA PUBLIC PRIMARY SCHOOL</t>
  </si>
  <si>
    <t>WANGANELLA NGK PRIMÊRE SKOOL</t>
  </si>
  <si>
    <t>WARDIA VGK PRIMÊRE SKOOL</t>
  </si>
  <si>
    <t>WASHINGTON DRIVE PRIMARY SCHOOL</t>
  </si>
  <si>
    <t>WATERSPRITES PREPRIMARY SCHOOL</t>
  </si>
  <si>
    <t>WATSONIA PRIMARY SCHOOL</t>
  </si>
  <si>
    <t>WAVECREST PRIMARY SCHOOL</t>
  </si>
  <si>
    <t>WEBER GEDENK NGK PRIMÊRE SKOOL</t>
  </si>
  <si>
    <t>WEBNERSTRAAT PRIMÊRE SKOOL</t>
  </si>
  <si>
    <t>WELCOME PRIMARY SCHOOL</t>
  </si>
  <si>
    <t>WELGEMEEND NGK PRIMÊRE SKOOL</t>
  </si>
  <si>
    <t>WELGEMOED NGK PRIMÊRE SKOOL</t>
  </si>
  <si>
    <t>WELGEMOED PREPRIMARY SCHOOL</t>
  </si>
  <si>
    <t>WELGEMOED PRIMARY SCHOOL</t>
  </si>
  <si>
    <t>WELLINGTON EDUCATION CENTRE</t>
  </si>
  <si>
    <t>WELLINGTON PREPARATORY SCHOOL AND COLLEGE</t>
  </si>
  <si>
    <t>WELLINGTON PRIMARY SCHOOL</t>
  </si>
  <si>
    <t>WELLINGTON SCHOOL OF SKILLS</t>
  </si>
  <si>
    <t>WELLINGTON SECONDARY SCHOOL</t>
  </si>
  <si>
    <t>WELTEVREDE NGK PRIMÊRE SKOOL (ROBERTSON)</t>
  </si>
  <si>
    <t>WELTEVREDE NGK PRIMÊRE SKOOL (WORCESTER)</t>
  </si>
  <si>
    <t>WELTEVREDE SEKONDÊR</t>
  </si>
  <si>
    <t>WELTEVREDE VGK PRIMÊRE SKOOL (BARRYDALE)</t>
  </si>
  <si>
    <t>WELTEVREDEN NGK PRIMÊRE SKOOL</t>
  </si>
  <si>
    <t>WELTEVREDEN VALLEY CORE PRIMARY SCHOOL</t>
  </si>
  <si>
    <t>WELVAART NGK PRIMÊRE SKOOL</t>
  </si>
  <si>
    <t>WELVILLE EK PRIMÊRE SKOOL</t>
  </si>
  <si>
    <t>WELWITSCIHA PRIMARY SCHOOL</t>
  </si>
  <si>
    <t>WEMMERSHOEK PRIMÊRE SKOOL</t>
  </si>
  <si>
    <t>WESBANK LAERSKOOL</t>
  </si>
  <si>
    <t>WESBANK SEKONDÊR</t>
  </si>
  <si>
    <t>WES-EIND PRIMÊRE SKOOL</t>
  </si>
  <si>
    <t>WESFLEUR PRIMÊRE SKOOL</t>
  </si>
  <si>
    <t>WES-KAAP JEUGTRUST</t>
  </si>
  <si>
    <t>WESKUS SPESIALE SKOOL</t>
  </si>
  <si>
    <t>WESLEY METHODIST PRACTISING SCHOOL</t>
  </si>
  <si>
    <t>WESPOORT PRIMARY SCHOOL</t>
  </si>
  <si>
    <t>WEST BANK HIGH SCHOOL</t>
  </si>
  <si>
    <t>WEST BANK NO.1 PRIMARY SCHOOL</t>
  </si>
  <si>
    <t>WEST COAST CHRISTIAN SCHOOL</t>
  </si>
  <si>
    <t>WEST END PRIMARY SCHOOL</t>
  </si>
  <si>
    <t>WEST RIDING PRIMARY SCHOOL</t>
  </si>
  <si>
    <t>WESTCLIFF SPESIALE SKOOL</t>
  </si>
  <si>
    <t>WESTCOTT PRIMARY SCHOOL</t>
  </si>
  <si>
    <t>WESTERFORD HIGH SCHOOL</t>
  </si>
  <si>
    <t>WESTERN CAPE SPORT SCHOOL</t>
  </si>
  <si>
    <t>WESTERN PROVINCE PREPARATORY</t>
  </si>
  <si>
    <t>WESTLAKE PRIMARY SCHOOL</t>
  </si>
  <si>
    <t>WESTON SEKONDÊR</t>
  </si>
  <si>
    <t>WESTRIDGE SECONDARY SCHOOL</t>
  </si>
  <si>
    <t>WESTVILLE PRIMARY SCHOOL</t>
  </si>
  <si>
    <t>WILLEM BUCHHOLZ NGK PRIMÊRE SKOOL</t>
  </si>
  <si>
    <t>WILLIAM LLOYD PRIMARY SCHOOL</t>
  </si>
  <si>
    <t>WILLOWS PRIMARY SCHOOL</t>
  </si>
  <si>
    <t>WINDERMERE PRIMARY SCHOOL</t>
  </si>
  <si>
    <t>WINDERMERE SEKONDÊR</t>
  </si>
  <si>
    <t>WINDMEUL PRIMÊRE SKOOL</t>
  </si>
  <si>
    <t>WINDSOR HIGH SCHOOL</t>
  </si>
  <si>
    <t>WINDSOR PREPARATORY</t>
  </si>
  <si>
    <t>WINELANDS PRIMARY</t>
  </si>
  <si>
    <t>WINGFIELD PRIMARY SCHOOL</t>
  </si>
  <si>
    <t>WINSLEY PRIMÊRE SKOOL</t>
  </si>
  <si>
    <t>WITSAND PRIMARY SCHOOL</t>
  </si>
  <si>
    <t>WITTEBOME HIGH SCHOOL</t>
  </si>
  <si>
    <t>WITTEDRIF PRIMÊRE SKOOL</t>
  </si>
  <si>
    <t>WITTEDRIFT HOËRSKOOL</t>
  </si>
  <si>
    <t>WITZENBERG PRIMÊRE SKOOL</t>
  </si>
  <si>
    <t>WOLRAAD WOLTEMADE PRIMARY SCHOOL</t>
  </si>
  <si>
    <t>WOLSELEY LAERSKOOL</t>
  </si>
  <si>
    <t>WOLSELEY SEKONDÊR</t>
  </si>
  <si>
    <t>WON LIFE ELC</t>
  </si>
  <si>
    <t>WONDERLAND EDUCARE</t>
  </si>
  <si>
    <t>WOODBRIDGE PRIMARY SCHOOL</t>
  </si>
  <si>
    <t>WOODLANDS PRIMARY SCHOOL</t>
  </si>
  <si>
    <t>WOODLANDS SECONDARY SCHOOL</t>
  </si>
  <si>
    <t>WOODVILLE PRIMARY SCHOOL</t>
  </si>
  <si>
    <t>WORCESTER GIMNASIUM</t>
  </si>
  <si>
    <t>WORCESTER LAERSKOOL</t>
  </si>
  <si>
    <t>WORCESTER MOSLEM PRIMÊR</t>
  </si>
  <si>
    <t>WORCESTER NGK OEFEN PRIMÊRE SKOOL</t>
  </si>
  <si>
    <t>WORCESTER RK PRIMARY SCHOOL</t>
  </si>
  <si>
    <t>WORCESTER SCHOOL OF SKILLS</t>
  </si>
  <si>
    <t>WORCESTER SEKONDÊR</t>
  </si>
  <si>
    <t>WORCESTER-NOORD PRIMÊRE SKOOL</t>
  </si>
  <si>
    <t>WORCESTER-OOS LAERSKOOL</t>
  </si>
  <si>
    <t>WUPPERTHAL MOR PRIMÊRE SKOOL</t>
  </si>
  <si>
    <t>WYNBERG BOYS' HIGH SCHOOL</t>
  </si>
  <si>
    <t>WYNBERG BOYS' JUNIOR</t>
  </si>
  <si>
    <t>WYNBERG GIRLS' HIGH SCHOOL</t>
  </si>
  <si>
    <t>WYNBERG GIRLS' JUNIOR SCHOOL</t>
  </si>
  <si>
    <t>WYNBERG HIGH SCHOOL</t>
  </si>
  <si>
    <t>WYSERSDRIFT PRIMÊRE SKOOL</t>
  </si>
  <si>
    <t>XOLANI PRIMARY SCHOOL</t>
  </si>
  <si>
    <t>Y2K COLLEGE</t>
  </si>
  <si>
    <t>YELLOWWOOD PRIMARY SCHOOL</t>
  </si>
  <si>
    <t>YESHUA CHRISTIAN PRIMARY SCHOOL</t>
  </si>
  <si>
    <t>YIZANI SAKHE UBUNYE EDUCARE CENTRE</t>
  </si>
  <si>
    <t>YOMELELA PRIMARY SCHOOL</t>
  </si>
  <si>
    <t>YOMELELANI PRE-PRIMARY</t>
  </si>
  <si>
    <t>YORK HIGH SCHOOL</t>
  </si>
  <si>
    <t>YORK ROAD PRIMARY SCHOOL</t>
  </si>
  <si>
    <t>YOUNG AMBASSADORS PRIMARY SCHOOL</t>
  </si>
  <si>
    <t>YOUNG EAGLES CHRISTIAN ACADEMY</t>
  </si>
  <si>
    <t>YSTERPLAAT JUNIOR PRIMARY SCHOOL</t>
  </si>
  <si>
    <t>YSTERPLAAT PREPRIMARY SCHOOL</t>
  </si>
  <si>
    <t>YSTERPLAAT PRIMARY SCHOOL</t>
  </si>
  <si>
    <t>ZAMA ZAMA EDUCARE</t>
  </si>
  <si>
    <t>ZAMUKHANYO EDUCARE</t>
  </si>
  <si>
    <t>ZANDVLIET HOËRSKOOL</t>
  </si>
  <si>
    <t>ZANEMFUNDO PRIMARY SCHOOL</t>
  </si>
  <si>
    <t>ZEEKOEGAT VGK PRIMÊRE SKOOL</t>
  </si>
  <si>
    <t>ZEEKOEVLEI PRIMARY SCHOOL</t>
  </si>
  <si>
    <t>ZEEKOEVLEI SECONDARY SCHOOL</t>
  </si>
  <si>
    <t>ZERILDA PARK PREPRIMARY SCHOOL</t>
  </si>
  <si>
    <t>ZERILDA PARK PRIMARY SCHOOL</t>
  </si>
  <si>
    <t>ZIMASA PRIMARY SCHOOL</t>
  </si>
  <si>
    <t>ZIMELE EDUCARE CENTRE</t>
  </si>
  <si>
    <t>ZINZENDORF MOR. EDUCARE CENTRE</t>
  </si>
  <si>
    <t>ZISUKHANYO SECONDARY SCHOOL</t>
  </si>
  <si>
    <t>ZIZAMELE CRECHE</t>
  </si>
  <si>
    <t>ZOAR EK PRIMÊRE SKOOL</t>
  </si>
  <si>
    <t>ZOAR R.P. BOTHA VGK PRIMÊRE SKOOL</t>
  </si>
  <si>
    <t>ZOETENDAL AKADEMIE</t>
  </si>
  <si>
    <t>ZOLA SENIOR SECONDARY SCHOOL</t>
  </si>
  <si>
    <t>ZONNEBLOEM BOYS PRIMARY SCHOOL</t>
  </si>
  <si>
    <t>ZONNEBLOEM GIRLS PRAC. SCHOOL</t>
  </si>
  <si>
    <t>ZONNEBLOEM NEST SENIOR SCHOOL</t>
  </si>
  <si>
    <t>ZOOZOO LAND PARKLANDS</t>
  </si>
  <si>
    <t>ZOOZOOLAND EDUCARE</t>
  </si>
  <si>
    <t>ZWAANSWYK ACADEMY/AKADEMIE</t>
  </si>
  <si>
    <t>ZWAANSWYK HIGH SCHOOL</t>
  </si>
  <si>
    <t>ZWARTBERG HOËRSKOOL</t>
  </si>
  <si>
    <t>ZWELETHEMBA HIGH SCHOOL</t>
  </si>
  <si>
    <t>ZWELIHLE PRIMARY SCHOOL</t>
  </si>
  <si>
    <t>AFRICA</t>
  </si>
  <si>
    <t>CHARMAINE PAIGE</t>
  </si>
  <si>
    <t>GRADE 1 &amp; GRADE 2</t>
  </si>
  <si>
    <t>HOME LANGUAGE FIRST ADDITIONAL LANGUAGE AND MATHEMATICS</t>
  </si>
  <si>
    <t>SNYMAN</t>
  </si>
  <si>
    <t>MELENIE</t>
  </si>
  <si>
    <t>MATROOSFONTEIN PRIMARY</t>
  </si>
  <si>
    <t>MS D. MARTIN</t>
  </si>
  <si>
    <t>SPORT</t>
  </si>
  <si>
    <t xml:space="preserve">KEEPING RECORD OF CLASS REGISTER. MARKING OF WORKSHEETS AND TASKS. RECORDING OF OBSERVATION SHEETS AND PROGRESS REPORTS </t>
  </si>
  <si>
    <t xml:space="preserve">   -</t>
  </si>
  <si>
    <t>TEACHING AND ASSESSMENT RESPONSIBILITIES.  IN GRADE 1 AND 2 (MULTIGRADE CLASS)</t>
  </si>
  <si>
    <t>GRADE 1 AND GRADE 2 (MULITIGRADE)</t>
  </si>
  <si>
    <t xml:space="preserve">MATHEMATICS </t>
  </si>
  <si>
    <t>DATAHANDLING</t>
  </si>
  <si>
    <t>Most of the learners faced the writing board and it helps a lot with the reverse numbers and letters.</t>
  </si>
  <si>
    <t>Some children is coming late due to transport. They communicate well and adapt easy in class.</t>
  </si>
  <si>
    <t>Doing a grade 1 and 2 class (multigrade) and is going well.</t>
  </si>
  <si>
    <t>Lesson planning is logical. The basic concepts stay the same. Grade 2 is only working on a higher number range etc.</t>
  </si>
  <si>
    <t>Recording and keep track of individual is kept on classlists. Work with data.</t>
  </si>
  <si>
    <t>Feedback of assessments task in imperative because then the learners knows what is expected of them.</t>
  </si>
  <si>
    <t>Differentiate between the groups.</t>
  </si>
  <si>
    <t>Individual and intervention classes is a big help.</t>
  </si>
  <si>
    <t>Expierenced of remedial teaching in the past is a great help with groupwork</t>
  </si>
  <si>
    <t>Excited to do groupwork.</t>
  </si>
  <si>
    <t>Pace of the writing work is abit slow due to multigrade class. (Grade 1 and 2). Groupwork needs a lot of attention.</t>
  </si>
  <si>
    <t>BA DEGREE &amp; JP DIPLOMA</t>
  </si>
  <si>
    <t>15 MAY 2026</t>
  </si>
  <si>
    <t>How to manage multigrade classes 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</si>
</sst>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0" x14ac:knownFonts="1">
    <font>
      <sz val="11"/>
      <color theme="1"/>
      <name val="Calibri"/>
      <family val="2"/>
      <scheme val="minor"/>
    </font>
    <font>
      <sz val="11"/>
      <color theme="1"/>
      <name val="Arial"/>
      <family val="2"/>
    </font>
    <font>
      <b/>
      <sz val="8"/>
      <color theme="1"/>
      <name val="Arial"/>
      <family val="2"/>
    </font>
    <font>
      <b/>
      <sz val="10"/>
      <color theme="1"/>
      <name val="Arial"/>
      <family val="2"/>
    </font>
    <font>
      <sz val="10"/>
      <color theme="1"/>
      <name val="Arial"/>
      <family val="2"/>
    </font>
    <font>
      <b/>
      <sz val="14"/>
      <color theme="1"/>
      <name val="Arial"/>
      <family val="2"/>
    </font>
    <font>
      <b/>
      <sz val="9"/>
      <color theme="1"/>
      <name val="Arial"/>
      <family val="2"/>
    </font>
    <font>
      <b/>
      <sz val="14"/>
      <color theme="1"/>
      <name val="Arial Narrow"/>
      <family val="2"/>
    </font>
    <font>
      <sz val="14"/>
      <color theme="1"/>
      <name val="Arial Narrow"/>
      <family val="2"/>
    </font>
    <font>
      <sz val="11"/>
      <color theme="1"/>
      <name val="Arial Narrow"/>
      <family val="2"/>
    </font>
    <font>
      <b/>
      <sz val="11"/>
      <color theme="1"/>
      <name val="Arial Narrow"/>
      <family val="2"/>
    </font>
    <font>
      <sz val="10"/>
      <color theme="1"/>
      <name val="Arial Narrow"/>
      <family val="2"/>
    </font>
    <font>
      <b/>
      <sz val="10"/>
      <color theme="1"/>
      <name val="Arial Narrow"/>
      <family val="2"/>
    </font>
    <font>
      <b/>
      <sz val="11"/>
      <name val="Arial Narrow"/>
      <family val="2"/>
    </font>
    <font>
      <sz val="11"/>
      <name val="Arial Narrow"/>
      <family val="2"/>
    </font>
    <font>
      <sz val="12"/>
      <color theme="1"/>
      <name val="Arial Narrow"/>
      <family val="2"/>
    </font>
    <font>
      <sz val="11"/>
      <color theme="1"/>
      <name val="Calibri"/>
      <family val="2"/>
    </font>
    <font>
      <sz val="10"/>
      <color theme="1"/>
      <name val="Calibri"/>
      <family val="2"/>
    </font>
    <font>
      <b/>
      <i/>
      <sz val="10"/>
      <color theme="1"/>
      <name val="Arial Narrow"/>
      <family val="2"/>
    </font>
    <font>
      <b/>
      <sz val="12"/>
      <color theme="1"/>
      <name val="Arial Narrow"/>
      <family val="2"/>
    </font>
    <font>
      <sz val="11"/>
      <color theme="1"/>
      <name val="Calibri"/>
      <family val="2"/>
      <scheme val="minor"/>
    </font>
    <font>
      <b/>
      <sz val="11"/>
      <color theme="1"/>
      <name val="Arial"/>
      <family val="2"/>
    </font>
    <font>
      <sz val="11"/>
      <color theme="1"/>
      <name val="Arial"/>
      <family val="2"/>
    </font>
    <font>
      <b/>
      <sz val="12"/>
      <color theme="1"/>
      <name val="Arial"/>
      <family val="2"/>
    </font>
    <font>
      <b/>
      <i/>
      <sz val="11"/>
      <color theme="1"/>
      <name val="Arial"/>
      <family val="2"/>
    </font>
    <font>
      <b/>
      <sz val="16"/>
      <color theme="1"/>
      <name val="Arial"/>
      <family val="2"/>
    </font>
    <font>
      <b/>
      <sz val="16"/>
      <color theme="1"/>
      <name val="Arial Narrow"/>
      <family val="2"/>
    </font>
    <font>
      <sz val="9"/>
      <color theme="1"/>
      <name val="Arial"/>
      <family val="2"/>
    </font>
    <font>
      <b/>
      <sz val="11"/>
      <color theme="1"/>
      <name val="Calibri"/>
      <family val="2"/>
      <scheme val="minor"/>
    </font>
    <font>
      <sz val="12"/>
      <color theme="1"/>
      <name val="Arial"/>
      <family val="2"/>
    </font>
    <font>
      <sz val="12"/>
      <name val="Arial"/>
      <family val="2"/>
    </font>
    <font>
      <b/>
      <sz val="14"/>
      <name val="Arial"/>
      <family val="2"/>
    </font>
    <font>
      <b/>
      <sz val="12"/>
      <name val="Arial"/>
      <family val="2"/>
    </font>
    <font>
      <b/>
      <sz val="14"/>
      <color rgb="FF0070C0"/>
      <name val="Arial"/>
      <family val="2"/>
    </font>
    <font>
      <u/>
      <sz val="11"/>
      <color theme="1"/>
      <name val="Calibri"/>
      <family val="2"/>
      <scheme val="minor"/>
    </font>
    <font>
      <b/>
      <sz val="11"/>
      <name val="Arial"/>
      <family val="2"/>
    </font>
    <font>
      <sz val="12"/>
      <color theme="1"/>
      <name val="Calibri"/>
      <family val="2"/>
      <scheme val="minor"/>
    </font>
    <font>
      <i/>
      <sz val="11"/>
      <color theme="1"/>
      <name val="Arial"/>
      <family val="2"/>
    </font>
    <font>
      <b/>
      <sz val="11"/>
      <color rgb="FFFF0000"/>
      <name val="Arial"/>
      <family val="2"/>
    </font>
    <font>
      <b/>
      <i/>
      <sz val="11"/>
      <name val="Arial"/>
      <family val="2"/>
    </font>
    <font>
      <sz val="7"/>
      <name val="Arial"/>
      <family val="2"/>
    </font>
    <font>
      <sz val="11"/>
      <color rgb="FF002060"/>
      <name val="Arial"/>
      <family val="2"/>
    </font>
    <font>
      <b/>
      <sz val="11"/>
      <color rgb="FF002060"/>
      <name val="Arial"/>
      <family val="2"/>
    </font>
    <font>
      <b/>
      <sz val="12"/>
      <color rgb="FF002060"/>
      <name val="Arial"/>
      <family val="2"/>
    </font>
    <font>
      <b/>
      <sz val="12"/>
      <color rgb="FFC00000"/>
      <name val="Arial"/>
      <family val="2"/>
    </font>
    <font>
      <b/>
      <sz val="12"/>
      <color rgb="FF669900"/>
      <name val="Arial"/>
      <family val="2"/>
    </font>
    <font>
      <sz val="12"/>
      <color rgb="FF002060"/>
      <name val="Arial"/>
      <family val="2"/>
    </font>
    <font>
      <b/>
      <sz val="16"/>
      <color rgb="FF001489"/>
      <name val="Century Gothic"/>
      <family val="2"/>
    </font>
    <font>
      <b/>
      <sz val="12"/>
      <color rgb="FF00B050"/>
      <name val="Arial"/>
      <family val="2"/>
    </font>
    <font>
      <sz val="11"/>
      <name val="Calibri"/>
      <family val="2"/>
      <scheme val="minor"/>
    </font>
    <font>
      <sz val="11"/>
      <name val="Arial"/>
      <family val="2"/>
    </font>
    <font>
      <sz val="11"/>
      <color theme="1"/>
      <name val="Century Gothic"/>
      <family val="2"/>
    </font>
    <font>
      <sz val="11"/>
      <color rgb="FF000000"/>
      <name val="Arial"/>
      <family val="2"/>
    </font>
    <font>
      <b/>
      <sz val="10"/>
      <color rgb="FFFF0000"/>
      <name val="Arial"/>
      <family val="2"/>
    </font>
    <font>
      <b/>
      <sz val="12"/>
      <color rgb="FFFF0000"/>
      <name val="Arial"/>
      <family val="2"/>
    </font>
    <font>
      <u/>
      <sz val="11"/>
      <color theme="1"/>
      <name val="Arial"/>
      <family val="2"/>
    </font>
    <font>
      <sz val="12"/>
      <color rgb="FF000000"/>
      <name val="Arial"/>
      <family val="2"/>
    </font>
    <font>
      <b/>
      <sz val="12"/>
      <color rgb="FF000000"/>
      <name val="Arial"/>
      <family val="2"/>
    </font>
    <font>
      <b/>
      <u/>
      <sz val="10"/>
      <color rgb="FFFF0000"/>
      <name val="Arial Narrow"/>
      <family val="2"/>
    </font>
    <font>
      <u/>
      <sz val="12"/>
      <color theme="1"/>
      <name val="Arial"/>
      <family val="2"/>
    </font>
    <font>
      <b/>
      <sz val="11"/>
      <color rgb="FF002060"/>
      <name val="Century Gothic"/>
      <family val="2"/>
    </font>
    <font>
      <u/>
      <sz val="11"/>
      <color theme="1"/>
      <name val="Century Gothic"/>
      <family val="2"/>
    </font>
    <font>
      <b/>
      <sz val="11"/>
      <color theme="1"/>
      <name val="Century Gothic"/>
      <family val="2"/>
    </font>
    <font>
      <sz val="12"/>
      <color theme="1"/>
      <name val="Symbol"/>
      <family val="1"/>
      <charset val="2"/>
    </font>
    <font>
      <sz val="7"/>
      <color theme="1"/>
      <name val="Times New Roman"/>
      <family val="1"/>
    </font>
    <font>
      <sz val="12"/>
      <color rgb="FFFF0000"/>
      <name val="Symbol"/>
      <family val="1"/>
      <charset val="2"/>
    </font>
    <font>
      <sz val="7"/>
      <color rgb="FFFF0000"/>
      <name val="Times New Roman"/>
      <family val="1"/>
    </font>
    <font>
      <sz val="12"/>
      <color rgb="FFFF0000"/>
      <name val="Arial"/>
      <family val="2"/>
    </font>
    <font>
      <sz val="12"/>
      <color rgb="FF000000"/>
      <name val="Aptos"/>
      <family val="2"/>
    </font>
    <font>
      <b/>
      <sz val="12"/>
      <color rgb="FF1D18EE"/>
      <name val="Arial"/>
      <family val="2"/>
    </font>
  </fonts>
  <fills count="2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
      <patternFill patternType="solid">
        <fgColor rgb="FFD5EAFF"/>
      </patternFill>
    </fill>
    <fill>
      <patternFill patternType="solid">
        <fgColor theme="9" tint="0.79998168889431442"/>
        <bgColor theme="4"/>
      </patternFill>
    </fill>
    <fill>
      <patternFill patternType="solid">
        <fgColor theme="5" tint="0.79998168889431442"/>
        <bgColor theme="4"/>
      </patternFill>
    </fill>
    <fill>
      <patternFill patternType="solid">
        <fgColor theme="7" tint="0.79998168889431442"/>
        <bgColor theme="4"/>
      </patternFill>
    </fill>
    <fill>
      <patternFill patternType="solid">
        <fgColor theme="4"/>
        <bgColor theme="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DAE9F8"/>
        <bgColor indexed="64"/>
      </patternFill>
    </fill>
  </fills>
  <borders count="78">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auto="1"/>
      </right>
      <top style="medium">
        <color auto="1"/>
      </top>
      <bottom/>
      <diagonal/>
    </border>
    <border>
      <left/>
      <right style="medium">
        <color auto="1"/>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medium">
        <color auto="1"/>
      </bottom>
      <diagonal/>
    </border>
    <border>
      <left/>
      <right/>
      <top style="thin">
        <color indexed="64"/>
      </top>
      <bottom style="medium">
        <color auto="1"/>
      </bottom>
      <diagonal/>
    </border>
    <border>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auto="1"/>
      </left>
      <right/>
      <top/>
      <bottom style="medium">
        <color auto="1"/>
      </bottom>
      <diagonal/>
    </border>
    <border>
      <left/>
      <right style="medium">
        <color auto="1"/>
      </right>
      <top/>
      <bottom style="medium">
        <color auto="1"/>
      </bottom>
      <diagonal/>
    </border>
    <border>
      <left style="medium">
        <color indexed="64"/>
      </left>
      <right style="medium">
        <color indexed="64"/>
      </right>
      <top style="medium">
        <color indexed="64"/>
      </top>
      <bottom style="thin">
        <color indexed="64"/>
      </bottom>
      <diagonal/>
    </border>
    <border>
      <left style="medium">
        <color auto="1"/>
      </left>
      <right style="medium">
        <color auto="1"/>
      </right>
      <top/>
      <bottom/>
      <diagonal/>
    </border>
    <border>
      <left style="thin">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thin">
        <color indexed="64"/>
      </top>
      <bottom/>
      <diagonal/>
    </border>
    <border>
      <left/>
      <right style="thin">
        <color indexed="64"/>
      </right>
      <top style="medium">
        <color indexed="64"/>
      </top>
      <bottom/>
      <diagonal/>
    </border>
    <border>
      <left style="medium">
        <color indexed="64"/>
      </left>
      <right style="medium">
        <color indexed="64"/>
      </right>
      <top/>
      <bottom style="medium">
        <color rgb="FF44B3E1"/>
      </bottom>
      <diagonal/>
    </border>
  </borders>
  <cellStyleXfs count="2">
    <xf numFmtId="0" fontId="0" fillId="0" borderId="0"/>
    <xf numFmtId="9" fontId="20" fillId="0" borderId="0" applyFont="0" applyFill="0" applyBorder="0" applyAlignment="0" applyProtection="0"/>
  </cellStyleXfs>
  <cellXfs count="757">
    <xf numFmtId="0" fontId="0" fillId="0" borderId="0" xfId="0"/>
    <xf numFmtId="0" fontId="0" fillId="0" borderId="0" xfId="0" applyAlignment="1">
      <alignment vertical="center"/>
    </xf>
    <xf numFmtId="0" fontId="4" fillId="0" borderId="35" xfId="0" applyFont="1" applyBorder="1" applyAlignment="1" applyProtection="1">
      <alignment horizontal="center" vertical="center"/>
      <protection locked="0"/>
    </xf>
    <xf numFmtId="0" fontId="4" fillId="0" borderId="6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4" fillId="0" borderId="51"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4" fillId="0" borderId="59" xfId="0" applyFont="1" applyBorder="1" applyAlignment="1" applyProtection="1">
      <alignment horizontal="center" vertical="center"/>
      <protection locked="0"/>
    </xf>
    <xf numFmtId="0" fontId="4" fillId="0" borderId="9" xfId="0" applyFont="1" applyBorder="1" applyAlignment="1" applyProtection="1">
      <alignment horizontal="left" vertical="center" wrapText="1"/>
      <protection locked="0"/>
    </xf>
    <xf numFmtId="0" fontId="4" fillId="0" borderId="18" xfId="0" applyFont="1" applyBorder="1" applyAlignment="1" applyProtection="1">
      <alignment horizontal="left" vertical="center" wrapText="1"/>
      <protection locked="0"/>
    </xf>
    <xf numFmtId="0" fontId="4" fillId="0" borderId="19" xfId="0" applyFont="1" applyBorder="1" applyAlignment="1" applyProtection="1">
      <alignment horizontal="left" vertical="center" wrapText="1"/>
      <protection locked="0"/>
    </xf>
    <xf numFmtId="0" fontId="4" fillId="0" borderId="21" xfId="0" applyFont="1" applyBorder="1" applyAlignment="1" applyProtection="1">
      <alignment horizontal="left" vertical="center" wrapText="1"/>
      <protection locked="0"/>
    </xf>
    <xf numFmtId="0" fontId="1" fillId="0" borderId="14" xfId="0" applyFont="1" applyBorder="1" applyAlignment="1" applyProtection="1">
      <alignment horizontal="center" vertical="center"/>
      <protection locked="0"/>
    </xf>
    <xf numFmtId="0" fontId="1" fillId="0" borderId="68" xfId="0" applyFont="1" applyBorder="1" applyAlignment="1" applyProtection="1">
      <alignment horizontal="center" vertical="center"/>
      <protection locked="0"/>
    </xf>
    <xf numFmtId="0" fontId="29" fillId="0" borderId="0" xfId="0" applyFont="1" applyAlignment="1">
      <alignment horizontal="center" vertical="center"/>
    </xf>
    <xf numFmtId="0" fontId="29" fillId="0" borderId="0" xfId="0" applyFont="1" applyAlignment="1">
      <alignment vertical="center"/>
    </xf>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21" fillId="4" borderId="48" xfId="0" applyFont="1" applyFill="1" applyBorder="1" applyAlignment="1">
      <alignment horizontal="center" vertical="center" wrapText="1"/>
    </xf>
    <xf numFmtId="0" fontId="35" fillId="6" borderId="48" xfId="0" applyFont="1" applyFill="1" applyBorder="1" applyAlignment="1">
      <alignment horizontal="center" vertical="center" wrapText="1"/>
    </xf>
    <xf numFmtId="0" fontId="21" fillId="6" borderId="70" xfId="0" applyFont="1" applyFill="1" applyBorder="1" applyAlignment="1">
      <alignment horizontal="center" vertical="center" wrapText="1"/>
    </xf>
    <xf numFmtId="0" fontId="21" fillId="0" borderId="0" xfId="0" applyFont="1" applyAlignment="1">
      <alignment horizontal="center" vertical="center" wrapText="1"/>
    </xf>
    <xf numFmtId="0" fontId="35" fillId="0" borderId="0" xfId="0" applyFont="1" applyAlignment="1">
      <alignment horizontal="center" vertical="center" wrapText="1"/>
    </xf>
    <xf numFmtId="0" fontId="1" fillId="0" borderId="0" xfId="0" applyFont="1" applyAlignment="1">
      <alignment horizontal="left" vertical="center" wrapText="1"/>
    </xf>
    <xf numFmtId="0" fontId="21" fillId="4" borderId="41" xfId="0" applyFont="1" applyFill="1" applyBorder="1" applyAlignment="1">
      <alignment horizontal="center" vertical="center" wrapText="1"/>
    </xf>
    <xf numFmtId="0" fontId="35" fillId="6" borderId="41" xfId="0" applyFont="1" applyFill="1" applyBorder="1" applyAlignment="1">
      <alignment horizontal="center" vertical="center" wrapText="1"/>
    </xf>
    <xf numFmtId="0" fontId="21" fillId="6" borderId="55" xfId="0" applyFont="1" applyFill="1" applyBorder="1" applyAlignment="1">
      <alignment horizontal="center" vertical="center" wrapText="1"/>
    </xf>
    <xf numFmtId="0" fontId="1" fillId="4" borderId="40" xfId="0" applyFont="1" applyFill="1" applyBorder="1" applyAlignment="1">
      <alignment horizontal="center" vertical="center"/>
    </xf>
    <xf numFmtId="0" fontId="1" fillId="4" borderId="41" xfId="0" applyFont="1" applyFill="1" applyBorder="1" applyAlignment="1">
      <alignment horizontal="center" vertical="center" wrapText="1"/>
    </xf>
    <xf numFmtId="0" fontId="23" fillId="4" borderId="41" xfId="0" applyFont="1" applyFill="1" applyBorder="1" applyAlignment="1">
      <alignment horizontal="center" vertical="center"/>
    </xf>
    <xf numFmtId="0" fontId="1" fillId="0" borderId="0" xfId="0" applyFont="1" applyAlignment="1">
      <alignment vertical="center" wrapText="1"/>
    </xf>
    <xf numFmtId="0" fontId="1" fillId="4" borderId="41" xfId="0" applyFont="1" applyFill="1" applyBorder="1" applyAlignment="1">
      <alignment vertical="center" wrapText="1"/>
    </xf>
    <xf numFmtId="0" fontId="23" fillId="6" borderId="41" xfId="0" applyFont="1" applyFill="1" applyBorder="1" applyAlignment="1">
      <alignment horizontal="center" vertical="center"/>
    </xf>
    <xf numFmtId="0" fontId="1" fillId="6" borderId="55" xfId="0" applyFont="1" applyFill="1" applyBorder="1" applyAlignment="1">
      <alignment horizontal="center" vertical="center" wrapText="1"/>
    </xf>
    <xf numFmtId="0" fontId="23" fillId="0" borderId="0" xfId="0" applyFont="1" applyAlignment="1">
      <alignment vertical="center"/>
    </xf>
    <xf numFmtId="0" fontId="29" fillId="0" borderId="32" xfId="0" applyFont="1" applyBorder="1" applyAlignment="1">
      <alignment horizontal="center" vertical="center"/>
    </xf>
    <xf numFmtId="0" fontId="29" fillId="0" borderId="14" xfId="0" applyFont="1" applyBorder="1" applyAlignment="1">
      <alignment vertical="center" wrapText="1"/>
    </xf>
    <xf numFmtId="0" fontId="29" fillId="0" borderId="20" xfId="0" applyFont="1" applyBorder="1" applyAlignment="1">
      <alignment horizontal="center" vertical="center"/>
    </xf>
    <xf numFmtId="0" fontId="29" fillId="0" borderId="9" xfId="0" applyFont="1" applyBorder="1" applyAlignment="1">
      <alignment vertical="center" wrapText="1"/>
    </xf>
    <xf numFmtId="0" fontId="29" fillId="0" borderId="45" xfId="0" applyFont="1" applyBorder="1" applyAlignment="1">
      <alignment horizontal="center" vertical="center"/>
    </xf>
    <xf numFmtId="0" fontId="29" fillId="0" borderId="13" xfId="0" applyFont="1" applyBorder="1" applyAlignment="1">
      <alignment vertical="center" wrapText="1"/>
    </xf>
    <xf numFmtId="0" fontId="29" fillId="0" borderId="22" xfId="0" applyFont="1" applyBorder="1" applyAlignment="1">
      <alignment horizontal="center" vertical="center"/>
    </xf>
    <xf numFmtId="0" fontId="29" fillId="0" borderId="23" xfId="0" applyFont="1" applyBorder="1" applyAlignment="1">
      <alignment vertical="center" wrapText="1"/>
    </xf>
    <xf numFmtId="0" fontId="1" fillId="0" borderId="48" xfId="0" applyFont="1" applyBorder="1" applyAlignment="1" applyProtection="1">
      <alignment horizontal="center" vertical="center"/>
      <protection locked="0"/>
    </xf>
    <xf numFmtId="0" fontId="4" fillId="0" borderId="62" xfId="0" applyFont="1" applyBorder="1" applyAlignment="1" applyProtection="1">
      <alignment horizontal="left" vertical="center"/>
      <protection locked="0"/>
    </xf>
    <xf numFmtId="0" fontId="4" fillId="0" borderId="59" xfId="0" applyFont="1" applyBorder="1" applyAlignment="1" applyProtection="1">
      <alignment horizontal="left" vertical="center"/>
      <protection locked="0"/>
    </xf>
    <xf numFmtId="0" fontId="4" fillId="0" borderId="51" xfId="0" applyFont="1" applyBorder="1" applyAlignment="1" applyProtection="1">
      <alignment horizontal="left" vertical="center"/>
      <protection locked="0"/>
    </xf>
    <xf numFmtId="0" fontId="22" fillId="0" borderId="0" xfId="0" applyFont="1" applyAlignment="1">
      <alignment vertical="center"/>
    </xf>
    <xf numFmtId="0" fontId="22" fillId="0" borderId="0" xfId="0" applyFont="1" applyAlignment="1">
      <alignment horizontal="center" vertical="center"/>
    </xf>
    <xf numFmtId="0" fontId="25" fillId="0" borderId="0" xfId="0" applyFont="1" applyAlignment="1">
      <alignment horizontal="center" vertical="center" wrapText="1"/>
    </xf>
    <xf numFmtId="0" fontId="25"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vertical="center" wrapText="1"/>
    </xf>
    <xf numFmtId="0" fontId="23" fillId="0" borderId="27" xfId="0" applyFont="1" applyBorder="1" applyAlignment="1">
      <alignment horizontal="left" vertical="center" wrapText="1"/>
    </xf>
    <xf numFmtId="0" fontId="23" fillId="0" borderId="0" xfId="0" applyFont="1" applyAlignment="1">
      <alignment horizontal="left" vertical="center" wrapText="1"/>
    </xf>
    <xf numFmtId="0" fontId="23" fillId="0" borderId="16" xfId="0" applyFont="1" applyBorder="1" applyAlignment="1">
      <alignment horizontal="left" vertical="center" wrapText="1"/>
    </xf>
    <xf numFmtId="0" fontId="4" fillId="0" borderId="32" xfId="0" applyFont="1" applyBorder="1" applyAlignment="1">
      <alignment horizontal="center" vertical="center" wrapText="1"/>
    </xf>
    <xf numFmtId="0" fontId="4" fillId="0" borderId="14" xfId="0" applyFont="1" applyBorder="1" applyAlignment="1">
      <alignment horizontal="center" vertical="center"/>
    </xf>
    <xf numFmtId="0" fontId="4" fillId="0" borderId="65" xfId="0" applyFont="1" applyBorder="1" applyAlignment="1">
      <alignment horizontal="center" vertical="center"/>
    </xf>
    <xf numFmtId="0" fontId="4" fillId="0" borderId="20" xfId="0" applyFont="1" applyBorder="1" applyAlignment="1">
      <alignment horizontal="center" vertical="center" wrapText="1"/>
    </xf>
    <xf numFmtId="0" fontId="4" fillId="0" borderId="9" xfId="0" applyFont="1" applyBorder="1" applyAlignment="1">
      <alignment horizontal="center" vertical="center"/>
    </xf>
    <xf numFmtId="0" fontId="4" fillId="0" borderId="21" xfId="0" applyFont="1" applyBorder="1" applyAlignment="1">
      <alignment horizontal="center" vertical="center"/>
    </xf>
    <xf numFmtId="0" fontId="4" fillId="0" borderId="45" xfId="0" applyFont="1" applyBorder="1" applyAlignment="1">
      <alignment horizontal="center" vertical="center" wrapText="1"/>
    </xf>
    <xf numFmtId="0" fontId="4" fillId="0" borderId="13" xfId="0" applyFont="1" applyBorder="1" applyAlignment="1">
      <alignment horizontal="center" vertical="center"/>
    </xf>
    <xf numFmtId="0" fontId="4" fillId="0" borderId="54" xfId="0" applyFont="1" applyBorder="1" applyAlignment="1">
      <alignment horizontal="center" vertical="center"/>
    </xf>
    <xf numFmtId="0" fontId="4" fillId="0" borderId="35" xfId="0" applyFont="1" applyBorder="1" applyAlignment="1">
      <alignment horizontal="center" vertical="center" wrapText="1"/>
    </xf>
    <xf numFmtId="0" fontId="4" fillId="0" borderId="35" xfId="0" applyFont="1" applyBorder="1" applyAlignment="1">
      <alignment horizontal="center" vertical="center"/>
    </xf>
    <xf numFmtId="0" fontId="4" fillId="0" borderId="62" xfId="0" applyFont="1" applyBorder="1" applyAlignment="1">
      <alignment horizontal="center" vertical="center"/>
    </xf>
    <xf numFmtId="0" fontId="4" fillId="0" borderId="31" xfId="0" applyFont="1" applyBorder="1" applyAlignment="1">
      <alignment horizontal="center" vertical="center" wrapText="1"/>
    </xf>
    <xf numFmtId="0" fontId="4" fillId="0" borderId="31" xfId="0" applyFont="1" applyBorder="1" applyAlignment="1">
      <alignment horizontal="center" vertical="center"/>
    </xf>
    <xf numFmtId="0" fontId="4" fillId="0" borderId="51" xfId="0" applyFont="1" applyBorder="1" applyAlignment="1">
      <alignment horizontal="center" vertical="center"/>
    </xf>
    <xf numFmtId="0" fontId="4" fillId="0" borderId="53" xfId="0" applyFont="1" applyBorder="1" applyAlignment="1">
      <alignment horizontal="center" vertical="center" wrapText="1"/>
    </xf>
    <xf numFmtId="0" fontId="4" fillId="0" borderId="56" xfId="0" applyFont="1" applyBorder="1" applyAlignment="1">
      <alignment horizontal="center" vertical="center"/>
    </xf>
    <xf numFmtId="0" fontId="4" fillId="0" borderId="59" xfId="0" applyFont="1" applyBorder="1" applyAlignment="1">
      <alignment horizontal="center" vertical="center"/>
    </xf>
    <xf numFmtId="0" fontId="4" fillId="0" borderId="56" xfId="0" applyFont="1" applyBorder="1" applyAlignment="1">
      <alignment horizontal="center" vertical="center" wrapText="1"/>
    </xf>
    <xf numFmtId="0" fontId="4" fillId="0" borderId="28" xfId="0" applyFont="1" applyBorder="1" applyAlignment="1">
      <alignment horizontal="center" vertical="center" wrapText="1"/>
    </xf>
    <xf numFmtId="0" fontId="29" fillId="0" borderId="17" xfId="0" applyFont="1" applyBorder="1" applyAlignment="1">
      <alignment horizontal="left" vertical="center"/>
    </xf>
    <xf numFmtId="0" fontId="29" fillId="0" borderId="20" xfId="0" applyFont="1" applyBorder="1" applyAlignment="1">
      <alignment horizontal="left" vertical="center"/>
    </xf>
    <xf numFmtId="0" fontId="27" fillId="0" borderId="1" xfId="0" applyFont="1" applyBorder="1" applyAlignment="1" applyProtection="1">
      <alignment horizontal="left" vertical="top" wrapText="1"/>
      <protection locked="0"/>
    </xf>
    <xf numFmtId="0" fontId="27" fillId="0" borderId="3" xfId="0" applyFont="1" applyBorder="1" applyAlignment="1" applyProtection="1">
      <alignment horizontal="left" vertical="top" wrapText="1"/>
      <protection locked="0"/>
    </xf>
    <xf numFmtId="0" fontId="21" fillId="4" borderId="2" xfId="0" applyFont="1" applyFill="1" applyBorder="1" applyAlignment="1">
      <alignment horizontal="center" vertical="center" wrapText="1"/>
    </xf>
    <xf numFmtId="0" fontId="3" fillId="4" borderId="41" xfId="0" applyFont="1" applyFill="1" applyBorder="1" applyAlignment="1">
      <alignment horizontal="center" vertical="center" wrapText="1"/>
    </xf>
    <xf numFmtId="0" fontId="29" fillId="0" borderId="28" xfId="0" applyFont="1" applyBorder="1" applyAlignment="1" applyProtection="1">
      <alignment horizontal="left" vertical="center"/>
      <protection locked="0"/>
    </xf>
    <xf numFmtId="0" fontId="29" fillId="0" borderId="31" xfId="0" applyFont="1" applyBorder="1" applyAlignment="1" applyProtection="1">
      <alignment horizontal="left" vertical="center"/>
      <protection locked="0"/>
    </xf>
    <xf numFmtId="0" fontId="29" fillId="0" borderId="56" xfId="0" applyFont="1" applyBorder="1" applyAlignment="1" applyProtection="1">
      <alignment horizontal="left" vertical="center"/>
      <protection locked="0"/>
    </xf>
    <xf numFmtId="0" fontId="21" fillId="4" borderId="2" xfId="0" applyFont="1" applyFill="1" applyBorder="1" applyAlignment="1">
      <alignment horizontal="center" vertical="center"/>
    </xf>
    <xf numFmtId="0" fontId="5" fillId="8" borderId="41" xfId="0" applyFont="1" applyFill="1" applyBorder="1" applyAlignment="1">
      <alignment horizontal="center" vertical="center"/>
    </xf>
    <xf numFmtId="0" fontId="5" fillId="8" borderId="55" xfId="0" applyFont="1" applyFill="1" applyBorder="1" applyAlignment="1">
      <alignment horizontal="center" vertical="center"/>
    </xf>
    <xf numFmtId="0" fontId="4" fillId="8" borderId="18" xfId="0" applyFont="1" applyFill="1" applyBorder="1" applyAlignment="1">
      <alignment horizontal="left" vertical="center" wrapText="1"/>
    </xf>
    <xf numFmtId="0" fontId="4" fillId="8" borderId="9" xfId="0" applyFont="1" applyFill="1" applyBorder="1" applyAlignment="1">
      <alignment horizontal="left" vertical="center" wrapText="1"/>
    </xf>
    <xf numFmtId="0" fontId="33" fillId="7" borderId="1" xfId="0" applyFont="1" applyFill="1" applyBorder="1" applyAlignment="1">
      <alignment horizontal="center" vertical="center" wrapText="1"/>
    </xf>
    <xf numFmtId="0" fontId="4" fillId="8" borderId="36" xfId="0" applyFont="1" applyFill="1" applyBorder="1" applyAlignment="1">
      <alignment horizontal="left" vertical="center"/>
    </xf>
    <xf numFmtId="0" fontId="4" fillId="8" borderId="57" xfId="0" applyFont="1" applyFill="1" applyBorder="1" applyAlignment="1">
      <alignment horizontal="left" vertical="center"/>
    </xf>
    <xf numFmtId="0" fontId="4" fillId="8" borderId="10" xfId="0" applyFont="1" applyFill="1" applyBorder="1" applyAlignment="1">
      <alignment horizontal="left" vertical="center"/>
    </xf>
    <xf numFmtId="0" fontId="4" fillId="8" borderId="57" xfId="0" applyFont="1" applyFill="1" applyBorder="1" applyAlignment="1">
      <alignment horizontal="left" vertical="center" wrapText="1"/>
    </xf>
    <xf numFmtId="0" fontId="3" fillId="8" borderId="1" xfId="0" applyFont="1" applyFill="1" applyBorder="1" applyAlignment="1">
      <alignment horizontal="center" vertical="center"/>
    </xf>
    <xf numFmtId="0" fontId="3" fillId="8" borderId="3" xfId="0" applyFont="1" applyFill="1" applyBorder="1" applyAlignment="1">
      <alignment horizontal="center" vertical="center"/>
    </xf>
    <xf numFmtId="0" fontId="21" fillId="4" borderId="25" xfId="0" applyFont="1" applyFill="1" applyBorder="1" applyAlignment="1">
      <alignment horizontal="center" vertical="center" wrapText="1"/>
    </xf>
    <xf numFmtId="0" fontId="3" fillId="4" borderId="25" xfId="0" applyFont="1" applyFill="1" applyBorder="1" applyAlignment="1">
      <alignment horizontal="center" vertical="center" wrapText="1"/>
    </xf>
    <xf numFmtId="0" fontId="3" fillId="4" borderId="60" xfId="0" applyFont="1" applyFill="1" applyBorder="1" applyAlignment="1">
      <alignment horizontal="center" vertical="center" wrapText="1"/>
    </xf>
    <xf numFmtId="1" fontId="3" fillId="4" borderId="60" xfId="0" applyNumberFormat="1" applyFont="1" applyFill="1" applyBorder="1" applyAlignment="1">
      <alignment horizontal="center" vertical="center" wrapText="1"/>
    </xf>
    <xf numFmtId="0" fontId="2" fillId="4" borderId="1" xfId="0" applyFont="1" applyFill="1" applyBorder="1" applyAlignment="1">
      <alignment horizontal="center" vertical="center" textRotation="90" wrapText="1"/>
    </xf>
    <xf numFmtId="0" fontId="21" fillId="4" borderId="26" xfId="0" applyFont="1" applyFill="1" applyBorder="1" applyAlignment="1">
      <alignment horizontal="left" vertical="center" wrapText="1"/>
    </xf>
    <xf numFmtId="1"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0" fontId="6" fillId="6" borderId="1" xfId="0" applyFont="1" applyFill="1" applyBorder="1" applyAlignment="1">
      <alignment horizontal="center" vertical="center" textRotation="90" wrapText="1"/>
    </xf>
    <xf numFmtId="0" fontId="21" fillId="6" borderId="6"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21" fillId="6" borderId="1" xfId="0" applyFont="1" applyFill="1" applyBorder="1" applyAlignment="1">
      <alignment horizontal="center" vertical="center" wrapText="1"/>
    </xf>
    <xf numFmtId="1" fontId="3" fillId="6" borderId="7" xfId="0" applyNumberFormat="1" applyFont="1" applyFill="1" applyBorder="1" applyAlignment="1">
      <alignment horizontal="center" vertical="center" wrapText="1"/>
    </xf>
    <xf numFmtId="0" fontId="3" fillId="6" borderId="55" xfId="0" applyFont="1" applyFill="1" applyBorder="1" applyAlignment="1">
      <alignment horizontal="center" vertical="center" wrapText="1"/>
    </xf>
    <xf numFmtId="1" fontId="23" fillId="7" borderId="7" xfId="0" applyNumberFormat="1" applyFont="1" applyFill="1" applyBorder="1" applyAlignment="1">
      <alignment horizontal="center" vertical="center" wrapText="1"/>
    </xf>
    <xf numFmtId="1" fontId="23" fillId="7" borderId="60" xfId="0" applyNumberFormat="1" applyFont="1" applyFill="1" applyBorder="1" applyAlignment="1">
      <alignment horizontal="center" vertical="center" wrapText="1"/>
    </xf>
    <xf numFmtId="0" fontId="1" fillId="4" borderId="35" xfId="0" applyFont="1" applyFill="1" applyBorder="1" applyAlignment="1">
      <alignment vertical="center" wrapText="1"/>
    </xf>
    <xf numFmtId="0" fontId="1" fillId="4" borderId="35" xfId="0" applyFont="1" applyFill="1" applyBorder="1" applyAlignment="1">
      <alignment vertical="center"/>
    </xf>
    <xf numFmtId="9" fontId="5" fillId="4" borderId="47" xfId="1" applyFont="1" applyFill="1" applyBorder="1" applyAlignment="1" applyProtection="1">
      <alignment horizontal="center" vertical="center" wrapText="1"/>
    </xf>
    <xf numFmtId="9" fontId="5" fillId="6" borderId="7" xfId="1" applyFont="1" applyFill="1" applyBorder="1" applyAlignment="1" applyProtection="1">
      <alignment horizontal="center" vertical="center" wrapText="1"/>
    </xf>
    <xf numFmtId="0" fontId="3" fillId="4" borderId="2"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1" fillId="0" borderId="62" xfId="0" applyFont="1" applyBorder="1" applyAlignment="1" applyProtection="1">
      <alignment horizontal="left" vertical="top"/>
      <protection locked="0"/>
    </xf>
    <xf numFmtId="0" fontId="7" fillId="0" borderId="27" xfId="0" applyFont="1" applyBorder="1" applyAlignment="1">
      <alignment horizontal="center" vertical="center" wrapText="1"/>
    </xf>
    <xf numFmtId="0" fontId="8" fillId="0" borderId="0" xfId="0" applyFont="1" applyAlignment="1">
      <alignment horizontal="center" vertical="center" wrapText="1"/>
    </xf>
    <xf numFmtId="0" fontId="8" fillId="0" borderId="16" xfId="0" applyFont="1" applyBorder="1"/>
    <xf numFmtId="0" fontId="10" fillId="8" borderId="1" xfId="0" applyFont="1" applyFill="1" applyBorder="1" applyAlignment="1">
      <alignment horizontal="center" vertical="center" wrapText="1"/>
    </xf>
    <xf numFmtId="0" fontId="11" fillId="0" borderId="27" xfId="0" applyFont="1" applyBorder="1" applyAlignment="1">
      <alignment horizontal="center" vertical="center" wrapText="1"/>
    </xf>
    <xf numFmtId="0" fontId="12" fillId="8" borderId="2" xfId="0" applyFont="1" applyFill="1" applyBorder="1" applyAlignment="1">
      <alignment horizontal="center" vertical="center" wrapText="1"/>
    </xf>
    <xf numFmtId="164" fontId="11" fillId="0" borderId="27" xfId="0" applyNumberFormat="1" applyFont="1" applyBorder="1" applyAlignment="1">
      <alignment horizontal="center" vertical="center" wrapText="1"/>
    </xf>
    <xf numFmtId="2" fontId="11" fillId="0" borderId="27" xfId="0" applyNumberFormat="1" applyFont="1" applyBorder="1" applyAlignment="1">
      <alignment horizontal="center" vertical="center" wrapText="1"/>
    </xf>
    <xf numFmtId="0" fontId="10" fillId="8" borderId="1" xfId="0" applyFont="1" applyFill="1" applyBorder="1" applyAlignment="1">
      <alignment horizontal="center"/>
    </xf>
    <xf numFmtId="0" fontId="12" fillId="8" borderId="2" xfId="0" applyFont="1" applyFill="1" applyBorder="1"/>
    <xf numFmtId="0" fontId="12" fillId="8" borderId="1" xfId="0" applyFont="1" applyFill="1" applyBorder="1" applyAlignment="1">
      <alignment horizontal="center" vertical="center" wrapText="1"/>
    </xf>
    <xf numFmtId="0" fontId="11" fillId="0" borderId="59" xfId="0" applyFont="1" applyBorder="1" applyAlignment="1">
      <alignment vertical="center" wrapText="1"/>
    </xf>
    <xf numFmtId="0" fontId="3" fillId="7" borderId="2" xfId="0" applyFont="1" applyFill="1" applyBorder="1" applyAlignment="1">
      <alignment vertical="center" wrapText="1"/>
    </xf>
    <xf numFmtId="0" fontId="3" fillId="7" borderId="1" xfId="0" applyFont="1" applyFill="1" applyBorder="1" applyAlignment="1">
      <alignment horizontal="center" vertical="center"/>
    </xf>
    <xf numFmtId="0" fontId="18" fillId="2" borderId="37" xfId="0" applyFont="1" applyFill="1" applyBorder="1" applyAlignment="1">
      <alignment horizontal="center" vertical="center"/>
    </xf>
    <xf numFmtId="0" fontId="18" fillId="2" borderId="29" xfId="0" applyFont="1" applyFill="1" applyBorder="1" applyAlignment="1">
      <alignment horizontal="center" vertical="center"/>
    </xf>
    <xf numFmtId="0" fontId="18" fillId="2" borderId="30" xfId="0" applyFont="1" applyFill="1" applyBorder="1" applyAlignment="1">
      <alignment horizontal="center" vertical="center"/>
    </xf>
    <xf numFmtId="0" fontId="18" fillId="2" borderId="39" xfId="0" applyFont="1" applyFill="1" applyBorder="1" applyAlignment="1">
      <alignment horizontal="center" vertical="center"/>
    </xf>
    <xf numFmtId="0" fontId="12" fillId="0" borderId="56" xfId="0" applyFont="1" applyBorder="1" applyAlignment="1">
      <alignment horizontal="center" vertical="center" wrapText="1"/>
    </xf>
    <xf numFmtId="0" fontId="11" fillId="2" borderId="28" xfId="0" applyFont="1" applyFill="1" applyBorder="1" applyAlignment="1">
      <alignment horizontal="center" vertical="center" wrapText="1"/>
    </xf>
    <xf numFmtId="0" fontId="11" fillId="2" borderId="31" xfId="0" applyFont="1" applyFill="1" applyBorder="1" applyAlignment="1">
      <alignment horizontal="center" vertical="center" wrapText="1"/>
    </xf>
    <xf numFmtId="0" fontId="11" fillId="0" borderId="31" xfId="0" applyFont="1" applyBorder="1" applyAlignment="1">
      <alignment horizontal="center" vertical="center" wrapText="1"/>
    </xf>
    <xf numFmtId="0" fontId="11" fillId="0" borderId="56" xfId="0" applyFont="1" applyBorder="1" applyAlignment="1">
      <alignment horizontal="center" vertical="center" wrapText="1"/>
    </xf>
    <xf numFmtId="1" fontId="32" fillId="9" borderId="41" xfId="0" applyNumberFormat="1" applyFont="1" applyFill="1" applyBorder="1" applyAlignment="1">
      <alignment horizontal="center" vertical="center" wrapText="1"/>
    </xf>
    <xf numFmtId="1" fontId="32" fillId="9" borderId="55" xfId="0" applyNumberFormat="1" applyFont="1" applyFill="1" applyBorder="1" applyAlignment="1">
      <alignment horizontal="center" vertical="center" wrapText="1"/>
    </xf>
    <xf numFmtId="1" fontId="32" fillId="9" borderId="1" xfId="0" applyNumberFormat="1" applyFont="1" applyFill="1" applyBorder="1" applyAlignment="1">
      <alignment horizontal="center" vertical="center" wrapText="1"/>
    </xf>
    <xf numFmtId="0" fontId="1" fillId="0" borderId="19" xfId="0" applyFont="1" applyBorder="1" applyAlignment="1" applyProtection="1">
      <alignment horizontal="center" vertical="center"/>
      <protection locked="0"/>
    </xf>
    <xf numFmtId="0" fontId="3" fillId="6" borderId="1" xfId="0" applyFont="1" applyFill="1" applyBorder="1" applyAlignment="1">
      <alignment horizontal="center" vertical="center" wrapText="1"/>
    </xf>
    <xf numFmtId="49" fontId="29" fillId="0" borderId="19" xfId="0" applyNumberFormat="1" applyFont="1" applyBorder="1" applyAlignment="1" applyProtection="1">
      <alignment horizontal="left" vertical="center" wrapText="1"/>
      <protection locked="0"/>
    </xf>
    <xf numFmtId="49" fontId="29" fillId="0" borderId="21" xfId="0" applyNumberFormat="1" applyFont="1" applyBorder="1" applyAlignment="1" applyProtection="1">
      <alignment horizontal="left" vertical="center" wrapText="1"/>
      <protection locked="0"/>
    </xf>
    <xf numFmtId="0" fontId="23" fillId="4" borderId="15" xfId="0" applyFont="1" applyFill="1" applyBorder="1" applyAlignment="1">
      <alignment horizontal="center" vertical="center"/>
    </xf>
    <xf numFmtId="0" fontId="29" fillId="4" borderId="51" xfId="0" applyFont="1" applyFill="1" applyBorder="1" applyAlignment="1">
      <alignment vertical="center"/>
    </xf>
    <xf numFmtId="0" fontId="29" fillId="4" borderId="59" xfId="0" applyFont="1" applyFill="1" applyBorder="1" applyAlignment="1">
      <alignment vertical="center"/>
    </xf>
    <xf numFmtId="0" fontId="23" fillId="6" borderId="15" xfId="0" applyFont="1" applyFill="1" applyBorder="1" applyAlignment="1">
      <alignment horizontal="center" vertical="center"/>
    </xf>
    <xf numFmtId="0" fontId="29" fillId="6" borderId="51" xfId="0" applyFont="1" applyFill="1" applyBorder="1" applyAlignment="1">
      <alignment vertical="center"/>
    </xf>
    <xf numFmtId="0" fontId="29" fillId="6" borderId="59" xfId="0" applyFont="1" applyFill="1" applyBorder="1" applyAlignment="1">
      <alignment vertical="center"/>
    </xf>
    <xf numFmtId="49" fontId="1" fillId="0" borderId="24" xfId="0" applyNumberFormat="1" applyFont="1" applyBorder="1" applyAlignment="1" applyProtection="1">
      <alignment horizontal="center" vertical="center"/>
      <protection locked="0"/>
    </xf>
    <xf numFmtId="0" fontId="1" fillId="0" borderId="35"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9" xfId="0" applyFont="1" applyBorder="1" applyAlignment="1">
      <alignment horizontal="center" vertical="center"/>
    </xf>
    <xf numFmtId="0" fontId="1" fillId="4" borderId="56" xfId="0" applyFont="1" applyFill="1" applyBorder="1" applyAlignment="1">
      <alignment vertical="center"/>
    </xf>
    <xf numFmtId="0" fontId="1" fillId="4" borderId="28" xfId="0" applyFont="1" applyFill="1" applyBorder="1" applyAlignment="1">
      <alignment vertical="center"/>
    </xf>
    <xf numFmtId="0" fontId="1" fillId="6" borderId="35" xfId="0" applyFont="1" applyFill="1" applyBorder="1" applyAlignment="1">
      <alignment vertical="center"/>
    </xf>
    <xf numFmtId="0" fontId="1" fillId="6" borderId="56" xfId="0" applyFont="1" applyFill="1" applyBorder="1" applyAlignment="1">
      <alignment vertical="center"/>
    </xf>
    <xf numFmtId="0" fontId="1" fillId="6" borderId="35" xfId="0" applyFont="1" applyFill="1" applyBorder="1" applyAlignment="1">
      <alignment vertical="center" wrapText="1"/>
    </xf>
    <xf numFmtId="0" fontId="1" fillId="6" borderId="28" xfId="0" applyFont="1" applyFill="1" applyBorder="1" applyAlignment="1">
      <alignment vertical="center"/>
    </xf>
    <xf numFmtId="0" fontId="1" fillId="0" borderId="21" xfId="0" applyFont="1" applyBorder="1" applyAlignment="1" applyProtection="1">
      <alignment horizontal="center" vertical="center" wrapText="1"/>
      <protection locked="0"/>
    </xf>
    <xf numFmtId="0" fontId="1" fillId="0" borderId="24" xfId="0" applyFont="1" applyBorder="1" applyAlignment="1" applyProtection="1">
      <alignment horizontal="center" vertical="center" wrapText="1"/>
      <protection locked="0"/>
    </xf>
    <xf numFmtId="0" fontId="49" fillId="0" borderId="0" xfId="0" applyFont="1" applyAlignment="1">
      <alignment horizontal="left"/>
    </xf>
    <xf numFmtId="0" fontId="31" fillId="11" borderId="0" xfId="0" applyFont="1" applyFill="1" applyAlignment="1">
      <alignment vertical="center"/>
    </xf>
    <xf numFmtId="0" fontId="31" fillId="0" borderId="0" xfId="0" applyFont="1" applyAlignment="1">
      <alignment vertical="center"/>
    </xf>
    <xf numFmtId="0" fontId="31" fillId="12" borderId="0" xfId="0" applyFont="1" applyFill="1" applyAlignment="1">
      <alignment vertical="center"/>
    </xf>
    <xf numFmtId="0" fontId="49" fillId="0" borderId="0" xfId="0" applyFont="1" applyAlignment="1">
      <alignment horizontal="left" vertical="center"/>
    </xf>
    <xf numFmtId="0" fontId="21" fillId="7" borderId="2" xfId="0" applyFont="1" applyFill="1" applyBorder="1" applyAlignment="1">
      <alignment horizontal="center" vertical="center" wrapText="1"/>
    </xf>
    <xf numFmtId="0" fontId="50" fillId="14" borderId="34" xfId="0" applyFont="1" applyFill="1" applyBorder="1" applyAlignment="1">
      <alignment horizontal="center" vertical="center"/>
    </xf>
    <xf numFmtId="0" fontId="50" fillId="0" borderId="0" xfId="0" applyFont="1" applyAlignment="1">
      <alignment horizontal="center" vertical="center"/>
    </xf>
    <xf numFmtId="0" fontId="32" fillId="15" borderId="8" xfId="0" applyFont="1" applyFill="1" applyBorder="1" applyAlignment="1">
      <alignment horizontal="center" vertical="center" wrapText="1"/>
    </xf>
    <xf numFmtId="0" fontId="32" fillId="16" borderId="8" xfId="0" applyFont="1" applyFill="1" applyBorder="1" applyAlignment="1">
      <alignment horizontal="center" vertical="center" wrapText="1"/>
    </xf>
    <xf numFmtId="0" fontId="32" fillId="17" borderId="8" xfId="0" applyFont="1" applyFill="1" applyBorder="1" applyAlignment="1">
      <alignment horizontal="center" vertical="center" wrapText="1"/>
    </xf>
    <xf numFmtId="0" fontId="32" fillId="18" borderId="8" xfId="0" applyFont="1" applyFill="1" applyBorder="1" applyAlignment="1">
      <alignment horizontal="center" vertical="center" wrapText="1"/>
    </xf>
    <xf numFmtId="0" fontId="50" fillId="0" borderId="12" xfId="0" applyFont="1" applyBorder="1" applyAlignment="1">
      <alignment horizontal="left" vertical="center"/>
    </xf>
    <xf numFmtId="0" fontId="50" fillId="0" borderId="9" xfId="0" applyFont="1" applyBorder="1" applyAlignment="1">
      <alignment horizontal="left" vertical="center"/>
    </xf>
    <xf numFmtId="49" fontId="50" fillId="19" borderId="10" xfId="0" applyNumberFormat="1" applyFont="1" applyFill="1" applyBorder="1" applyAlignment="1">
      <alignment vertical="center" wrapText="1"/>
    </xf>
    <xf numFmtId="49" fontId="50" fillId="20" borderId="10" xfId="0" applyNumberFormat="1" applyFont="1" applyFill="1" applyBorder="1" applyAlignment="1">
      <alignment vertical="center" wrapText="1"/>
    </xf>
    <xf numFmtId="49" fontId="50" fillId="21" borderId="10" xfId="0" applyNumberFormat="1" applyFont="1" applyFill="1" applyBorder="1" applyAlignment="1">
      <alignment vertical="center" wrapText="1"/>
    </xf>
    <xf numFmtId="49" fontId="50" fillId="13" borderId="10" xfId="0" applyNumberFormat="1" applyFont="1" applyFill="1" applyBorder="1" applyAlignment="1">
      <alignment vertical="center" wrapText="1"/>
    </xf>
    <xf numFmtId="0" fontId="50" fillId="0" borderId="0" xfId="0" applyFont="1" applyAlignment="1">
      <alignment vertical="center"/>
    </xf>
    <xf numFmtId="0" fontId="50" fillId="21" borderId="10" xfId="0" applyFont="1" applyFill="1" applyBorder="1" applyAlignment="1">
      <alignment vertical="center" wrapText="1"/>
    </xf>
    <xf numFmtId="0" fontId="50" fillId="20" borderId="10" xfId="0" applyFont="1" applyFill="1" applyBorder="1" applyAlignment="1">
      <alignment vertical="center" wrapText="1"/>
    </xf>
    <xf numFmtId="49" fontId="50" fillId="21" borderId="75" xfId="0" applyNumberFormat="1" applyFont="1" applyFill="1" applyBorder="1" applyAlignment="1">
      <alignment vertical="center" wrapText="1"/>
    </xf>
    <xf numFmtId="49" fontId="50" fillId="20" borderId="75" xfId="0" applyNumberFormat="1" applyFont="1" applyFill="1" applyBorder="1" applyAlignment="1">
      <alignment vertical="center" wrapText="1"/>
    </xf>
    <xf numFmtId="49" fontId="50" fillId="19" borderId="75" xfId="0" applyNumberFormat="1" applyFont="1" applyFill="1" applyBorder="1" applyAlignment="1">
      <alignment vertical="center" wrapText="1"/>
    </xf>
    <xf numFmtId="0" fontId="51" fillId="0" borderId="0" xfId="0" applyFont="1" applyAlignment="1">
      <alignment vertical="center" wrapText="1"/>
    </xf>
    <xf numFmtId="0" fontId="50" fillId="0" borderId="0" xfId="0" applyFont="1" applyAlignment="1">
      <alignment vertical="center" wrapText="1"/>
    </xf>
    <xf numFmtId="0" fontId="51" fillId="0" borderId="0" xfId="0" applyFont="1" applyAlignment="1">
      <alignment wrapText="1"/>
    </xf>
    <xf numFmtId="0" fontId="50" fillId="0" borderId="12" xfId="0" applyFont="1" applyBorder="1" applyAlignment="1">
      <alignment vertical="center"/>
    </xf>
    <xf numFmtId="0" fontId="52" fillId="0" borderId="12" xfId="0" applyFont="1" applyBorder="1" applyAlignment="1">
      <alignment horizontal="left"/>
    </xf>
    <xf numFmtId="0" fontId="50" fillId="0" borderId="58" xfId="0" applyFont="1" applyBorder="1" applyAlignment="1">
      <alignment horizontal="left" vertical="center"/>
    </xf>
    <xf numFmtId="0" fontId="50" fillId="0" borderId="13" xfId="0" applyFont="1" applyBorder="1" applyAlignment="1">
      <alignment horizontal="left" vertical="center"/>
    </xf>
    <xf numFmtId="0" fontId="50" fillId="11" borderId="0" xfId="0" applyFont="1" applyFill="1" applyAlignment="1">
      <alignment vertical="center"/>
    </xf>
    <xf numFmtId="0" fontId="29" fillId="0" borderId="21" xfId="0" applyFont="1" applyBorder="1" applyAlignment="1">
      <alignment horizontal="left" vertical="center" wrapText="1"/>
    </xf>
    <xf numFmtId="0" fontId="29" fillId="2" borderId="21" xfId="0" applyFont="1" applyFill="1" applyBorder="1" applyAlignment="1">
      <alignment horizontal="left" vertical="center" wrapText="1"/>
    </xf>
    <xf numFmtId="0" fontId="29" fillId="0" borderId="24" xfId="0" applyFont="1" applyBorder="1" applyAlignment="1">
      <alignment horizontal="left" vertical="center" wrapText="1"/>
    </xf>
    <xf numFmtId="0" fontId="21" fillId="7" borderId="1" xfId="0" applyFont="1" applyFill="1" applyBorder="1" applyAlignment="1">
      <alignment horizontal="center" vertical="center" wrapText="1"/>
    </xf>
    <xf numFmtId="0" fontId="16" fillId="0" borderId="0" xfId="0" applyFont="1"/>
    <xf numFmtId="0" fontId="29" fillId="0" borderId="50" xfId="0" applyFont="1" applyBorder="1" applyAlignment="1">
      <alignment horizontal="center" vertical="center" wrapText="1"/>
    </xf>
    <xf numFmtId="0" fontId="23" fillId="0" borderId="28" xfId="0" applyFont="1" applyBorder="1" applyAlignment="1">
      <alignment horizontal="center" vertical="center" wrapText="1"/>
    </xf>
    <xf numFmtId="1" fontId="29" fillId="0" borderId="28" xfId="0" applyNumberFormat="1" applyFont="1" applyBorder="1" applyAlignment="1">
      <alignment horizontal="center" vertical="center" wrapText="1"/>
    </xf>
    <xf numFmtId="1" fontId="29" fillId="0" borderId="50" xfId="0" applyNumberFormat="1" applyFont="1" applyBorder="1" applyAlignment="1">
      <alignment horizontal="center" vertical="center" wrapText="1"/>
    </xf>
    <xf numFmtId="0" fontId="29" fillId="0" borderId="51" xfId="0" applyFont="1" applyBorder="1" applyAlignment="1">
      <alignment horizontal="center" vertical="center" wrapText="1"/>
    </xf>
    <xf numFmtId="0" fontId="23" fillId="0" borderId="31" xfId="0" applyFont="1" applyBorder="1" applyAlignment="1">
      <alignment horizontal="center" vertical="center" wrapText="1"/>
    </xf>
    <xf numFmtId="1" fontId="29" fillId="0" borderId="31" xfId="0" applyNumberFormat="1" applyFont="1" applyBorder="1" applyAlignment="1">
      <alignment horizontal="center" vertical="center" wrapText="1"/>
    </xf>
    <xf numFmtId="1" fontId="29" fillId="0" borderId="51" xfId="0" applyNumberFormat="1" applyFont="1" applyBorder="1" applyAlignment="1">
      <alignment horizontal="center" vertical="center" wrapText="1"/>
    </xf>
    <xf numFmtId="0" fontId="29" fillId="0" borderId="59" xfId="0" applyFont="1" applyBorder="1" applyAlignment="1">
      <alignment horizontal="center" vertical="center" wrapText="1"/>
    </xf>
    <xf numFmtId="0" fontId="23" fillId="0" borderId="53" xfId="0" applyFont="1" applyBorder="1" applyAlignment="1">
      <alignment horizontal="center" vertical="center" wrapText="1"/>
    </xf>
    <xf numFmtId="1" fontId="29" fillId="0" borderId="53" xfId="0" applyNumberFormat="1" applyFont="1" applyBorder="1" applyAlignment="1">
      <alignment horizontal="center" vertical="center" wrapText="1"/>
    </xf>
    <xf numFmtId="1" fontId="29" fillId="0" borderId="52" xfId="0" applyNumberFormat="1" applyFont="1" applyBorder="1" applyAlignment="1">
      <alignment horizontal="center" vertical="center" wrapText="1"/>
    </xf>
    <xf numFmtId="0" fontId="5" fillId="7" borderId="2" xfId="0" applyFont="1" applyFill="1" applyBorder="1" applyAlignment="1">
      <alignment horizontal="center" vertical="center" wrapText="1"/>
    </xf>
    <xf numFmtId="1" fontId="5" fillId="4" borderId="2" xfId="0" applyNumberFormat="1" applyFont="1" applyFill="1" applyBorder="1" applyAlignment="1">
      <alignment horizontal="center" vertical="center" wrapText="1"/>
    </xf>
    <xf numFmtId="1" fontId="5" fillId="6" borderId="1" xfId="0" applyNumberFormat="1" applyFont="1" applyFill="1" applyBorder="1" applyAlignment="1">
      <alignment horizontal="center" vertical="center" wrapText="1"/>
    </xf>
    <xf numFmtId="0" fontId="5" fillId="7" borderId="1" xfId="0" applyFont="1" applyFill="1" applyBorder="1" applyAlignment="1">
      <alignment vertical="center" wrapText="1"/>
    </xf>
    <xf numFmtId="0" fontId="4" fillId="0" borderId="0" xfId="0" applyFont="1"/>
    <xf numFmtId="0" fontId="4" fillId="0" borderId="0" xfId="0" applyFont="1" applyAlignment="1">
      <alignment wrapText="1"/>
    </xf>
    <xf numFmtId="0" fontId="36" fillId="0" borderId="0" xfId="0" applyFont="1"/>
    <xf numFmtId="0" fontId="4" fillId="0" borderId="0" xfId="0" applyFont="1" applyAlignment="1">
      <alignment horizontal="center" vertical="top" wrapText="1"/>
    </xf>
    <xf numFmtId="0" fontId="4" fillId="0" borderId="62" xfId="0" applyFont="1" applyBorder="1" applyAlignment="1" applyProtection="1">
      <alignment horizontal="left" vertical="center" wrapText="1"/>
      <protection locked="0"/>
    </xf>
    <xf numFmtId="0" fontId="4" fillId="0" borderId="62" xfId="0" applyFont="1" applyBorder="1" applyAlignment="1">
      <alignment horizontal="left" vertical="center"/>
    </xf>
    <xf numFmtId="0" fontId="1" fillId="0" borderId="19" xfId="0" applyFont="1" applyBorder="1" applyAlignment="1" applyProtection="1">
      <alignment horizontal="center" vertical="center" wrapText="1"/>
      <protection locked="0"/>
    </xf>
    <xf numFmtId="0" fontId="27" fillId="0" borderId="0" xfId="0" applyFont="1" applyAlignment="1">
      <alignment horizontal="left" vertical="center"/>
    </xf>
    <xf numFmtId="0" fontId="33" fillId="0" borderId="0" xfId="0" applyFont="1" applyAlignment="1">
      <alignment vertical="center" wrapText="1"/>
    </xf>
    <xf numFmtId="0" fontId="29" fillId="0" borderId="0" xfId="0" applyFont="1" applyAlignment="1" applyProtection="1">
      <alignment horizontal="left" vertical="top" wrapText="1"/>
      <protection locked="0"/>
    </xf>
    <xf numFmtId="0" fontId="21" fillId="4" borderId="73" xfId="0" applyFont="1" applyFill="1" applyBorder="1" applyAlignment="1">
      <alignment horizontal="center" vertical="center" wrapText="1"/>
    </xf>
    <xf numFmtId="0" fontId="35" fillId="6" borderId="73" xfId="0" applyFont="1" applyFill="1" applyBorder="1" applyAlignment="1">
      <alignment horizontal="center" vertical="center" wrapText="1"/>
    </xf>
    <xf numFmtId="0" fontId="21" fillId="6" borderId="71" xfId="0" applyFont="1" applyFill="1" applyBorder="1" applyAlignment="1">
      <alignment horizontal="center" vertical="center" wrapText="1"/>
    </xf>
    <xf numFmtId="0" fontId="1" fillId="4" borderId="47" xfId="0" applyFont="1" applyFill="1" applyBorder="1" applyAlignment="1">
      <alignment horizontal="center" vertical="center"/>
    </xf>
    <xf numFmtId="0" fontId="1" fillId="4" borderId="48" xfId="0" applyFont="1" applyFill="1" applyBorder="1" applyAlignment="1">
      <alignment vertical="center" wrapText="1"/>
    </xf>
    <xf numFmtId="0" fontId="23" fillId="4" borderId="48" xfId="0" applyFont="1" applyFill="1" applyBorder="1" applyAlignment="1">
      <alignment horizontal="center" vertical="center"/>
    </xf>
    <xf numFmtId="0" fontId="1" fillId="4" borderId="48" xfId="0" applyFont="1" applyFill="1" applyBorder="1" applyAlignment="1">
      <alignment horizontal="center" vertical="center" wrapText="1"/>
    </xf>
    <xf numFmtId="0" fontId="23" fillId="6" borderId="48" xfId="0" applyFont="1" applyFill="1" applyBorder="1" applyAlignment="1">
      <alignment horizontal="center" vertical="center"/>
    </xf>
    <xf numFmtId="0" fontId="1" fillId="6" borderId="70" xfId="0" applyFont="1" applyFill="1" applyBorder="1" applyAlignment="1">
      <alignment horizontal="center" vertical="center" wrapText="1"/>
    </xf>
    <xf numFmtId="0" fontId="29" fillId="0" borderId="17" xfId="0" applyFont="1" applyBorder="1" applyAlignment="1">
      <alignment horizontal="center" vertical="center"/>
    </xf>
    <xf numFmtId="0" fontId="29" fillId="0" borderId="18" xfId="0" applyFont="1" applyBorder="1" applyAlignment="1">
      <alignment vertical="center" wrapText="1"/>
    </xf>
    <xf numFmtId="0" fontId="1" fillId="0" borderId="18" xfId="0" applyFont="1" applyBorder="1" applyAlignment="1" applyProtection="1">
      <alignment horizontal="center" vertical="center"/>
      <protection locked="0"/>
    </xf>
    <xf numFmtId="0" fontId="1" fillId="0" borderId="23" xfId="0" applyFont="1" applyBorder="1" applyAlignment="1" applyProtection="1">
      <alignment horizontal="center" vertical="center"/>
      <protection locked="0"/>
    </xf>
    <xf numFmtId="49" fontId="60" fillId="0" borderId="21" xfId="0" applyNumberFormat="1" applyFont="1" applyBorder="1" applyAlignment="1" applyProtection="1">
      <alignment horizontal="center" vertical="center" wrapText="1"/>
      <protection locked="0"/>
    </xf>
    <xf numFmtId="49" fontId="60" fillId="0" borderId="24" xfId="0" applyNumberFormat="1" applyFont="1" applyBorder="1" applyAlignment="1" applyProtection="1">
      <alignment horizontal="center" vertical="center" wrapText="1"/>
      <protection locked="0"/>
    </xf>
    <xf numFmtId="0" fontId="0" fillId="0" borderId="0" xfId="0"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wrapText="1"/>
    </xf>
    <xf numFmtId="0" fontId="42" fillId="0" borderId="0" xfId="0" applyFont="1" applyAlignment="1">
      <alignment horizontal="center" vertical="center" wrapText="1"/>
    </xf>
    <xf numFmtId="0" fontId="46" fillId="0" borderId="0" xfId="0" applyFont="1" applyAlignment="1">
      <alignment horizontal="center" vertical="center" wrapText="1"/>
    </xf>
    <xf numFmtId="0" fontId="41" fillId="0" borderId="0" xfId="0" applyFont="1" applyAlignment="1">
      <alignment vertical="center" wrapText="1"/>
    </xf>
    <xf numFmtId="0" fontId="1" fillId="0" borderId="20" xfId="0" applyFont="1" applyBorder="1" applyAlignment="1">
      <alignment horizontal="center" vertical="center" wrapText="1"/>
    </xf>
    <xf numFmtId="0" fontId="1" fillId="0" borderId="22" xfId="0" applyFont="1" applyBorder="1" applyAlignment="1">
      <alignment horizontal="center" vertical="center" wrapText="1"/>
    </xf>
    <xf numFmtId="0" fontId="41" fillId="0" borderId="0" xfId="0" applyFont="1" applyAlignment="1">
      <alignment horizontal="left" vertical="center" wrapText="1"/>
    </xf>
    <xf numFmtId="0" fontId="29" fillId="22" borderId="66" xfId="0" applyFont="1" applyFill="1" applyBorder="1" applyAlignment="1">
      <alignment horizontal="center" vertical="center" wrapText="1"/>
    </xf>
    <xf numFmtId="0" fontId="43" fillId="6" borderId="71" xfId="0" applyFont="1" applyFill="1" applyBorder="1" applyAlignment="1">
      <alignment horizontal="center" vertical="center" wrapText="1"/>
    </xf>
    <xf numFmtId="0" fontId="1" fillId="0" borderId="17" xfId="0" applyFont="1" applyBorder="1" applyAlignment="1">
      <alignment horizontal="center" vertical="center" wrapText="1"/>
    </xf>
    <xf numFmtId="0" fontId="60" fillId="0" borderId="19" xfId="0" applyFont="1" applyBorder="1" applyAlignment="1">
      <alignment horizontal="center" vertical="center" wrapText="1"/>
    </xf>
    <xf numFmtId="0" fontId="60" fillId="0" borderId="21" xfId="0" applyFont="1" applyBorder="1" applyAlignment="1">
      <alignment horizontal="center" vertical="center" wrapText="1"/>
    </xf>
    <xf numFmtId="0" fontId="23" fillId="4" borderId="17" xfId="0" applyFont="1" applyFill="1" applyBorder="1" applyAlignment="1">
      <alignment horizontal="center" vertical="center" wrapText="1"/>
    </xf>
    <xf numFmtId="0" fontId="23" fillId="6" borderId="19" xfId="0" applyFont="1" applyFill="1" applyBorder="1" applyAlignment="1">
      <alignment horizontal="center" vertical="center" wrapText="1"/>
    </xf>
    <xf numFmtId="0" fontId="1" fillId="0" borderId="20" xfId="0" applyFont="1" applyBorder="1" applyAlignment="1" applyProtection="1">
      <alignment horizontal="center" vertical="center" wrapText="1"/>
      <protection locked="0"/>
    </xf>
    <xf numFmtId="0" fontId="1" fillId="0" borderId="22" xfId="0" applyFont="1" applyBorder="1" applyAlignment="1" applyProtection="1">
      <alignment horizontal="center" vertical="center" wrapText="1"/>
      <protection locked="0"/>
    </xf>
    <xf numFmtId="0" fontId="43" fillId="4" borderId="6" xfId="0" applyFont="1" applyFill="1" applyBorder="1" applyAlignment="1">
      <alignment horizontal="center" vertical="center" wrapText="1"/>
    </xf>
    <xf numFmtId="0" fontId="68" fillId="23" borderId="7" xfId="0" applyFont="1" applyFill="1" applyBorder="1" applyAlignment="1">
      <alignment vertical="center"/>
    </xf>
    <xf numFmtId="0" fontId="68" fillId="23" borderId="77" xfId="0" applyFont="1" applyFill="1" applyBorder="1" applyAlignment="1">
      <alignment vertical="center"/>
    </xf>
    <xf numFmtId="0" fontId="43" fillId="4" borderId="45" xfId="0" applyFont="1" applyFill="1" applyBorder="1" applyAlignment="1">
      <alignment horizontal="center" vertical="center" wrapText="1"/>
    </xf>
    <xf numFmtId="0" fontId="43" fillId="6" borderId="54" xfId="0" applyFont="1" applyFill="1" applyBorder="1" applyAlignment="1">
      <alignment horizontal="center" vertical="center" wrapText="1"/>
    </xf>
    <xf numFmtId="0" fontId="1" fillId="0" borderId="17" xfId="0" applyFont="1" applyBorder="1" applyAlignment="1" applyProtection="1">
      <alignment horizontal="center" vertical="center" wrapText="1"/>
      <protection locked="0"/>
    </xf>
    <xf numFmtId="3" fontId="4" fillId="0" borderId="59" xfId="0" applyNumberFormat="1" applyFont="1" applyBorder="1" applyAlignment="1" applyProtection="1">
      <alignment horizontal="left" vertical="center"/>
      <protection locked="0"/>
    </xf>
    <xf numFmtId="0" fontId="30" fillId="0" borderId="0" xfId="0" applyFont="1" applyAlignment="1">
      <alignment horizontal="center" vertical="center"/>
    </xf>
    <xf numFmtId="0" fontId="30" fillId="0" borderId="0" xfId="0" applyFont="1" applyAlignment="1">
      <alignment vertical="center"/>
    </xf>
    <xf numFmtId="0" fontId="32" fillId="0" borderId="0" xfId="0" applyFont="1" applyAlignment="1">
      <alignment vertical="center"/>
    </xf>
    <xf numFmtId="0" fontId="30" fillId="0" borderId="27" xfId="0" applyFont="1" applyBorder="1" applyAlignment="1">
      <alignment horizontal="center" vertical="center"/>
    </xf>
    <xf numFmtId="0" fontId="30" fillId="8" borderId="17" xfId="0" applyFont="1" applyFill="1" applyBorder="1" applyAlignment="1">
      <alignment horizontal="center" vertical="center"/>
    </xf>
    <xf numFmtId="0" fontId="30" fillId="8" borderId="64" xfId="0" applyFont="1" applyFill="1" applyBorder="1" applyAlignment="1">
      <alignment vertical="center"/>
    </xf>
    <xf numFmtId="0" fontId="30" fillId="8" borderId="20" xfId="0" applyFont="1" applyFill="1" applyBorder="1" applyAlignment="1">
      <alignment horizontal="center" vertical="center"/>
    </xf>
    <xf numFmtId="0" fontId="30" fillId="8" borderId="11" xfId="0" applyFont="1" applyFill="1" applyBorder="1" applyAlignment="1">
      <alignment vertical="center"/>
    </xf>
    <xf numFmtId="0" fontId="63" fillId="8" borderId="63" xfId="0" applyFont="1" applyFill="1" applyBorder="1" applyAlignment="1">
      <alignment horizontal="left" vertical="center" indent="4"/>
    </xf>
    <xf numFmtId="0" fontId="65" fillId="8" borderId="63" xfId="0" applyFont="1" applyFill="1" applyBorder="1" applyAlignment="1">
      <alignment horizontal="left" vertical="center" indent="4"/>
    </xf>
    <xf numFmtId="0" fontId="30" fillId="8" borderId="22" xfId="0" applyFont="1" applyFill="1" applyBorder="1" applyAlignment="1">
      <alignment horizontal="center" vertical="center"/>
    </xf>
    <xf numFmtId="0" fontId="30" fillId="8" borderId="38" xfId="0" applyFont="1" applyFill="1" applyBorder="1" applyAlignment="1">
      <alignment vertical="center"/>
    </xf>
    <xf numFmtId="0" fontId="30" fillId="8" borderId="7" xfId="0" applyFont="1" applyFill="1" applyBorder="1" applyAlignment="1">
      <alignment vertical="center" wrapText="1"/>
    </xf>
    <xf numFmtId="0" fontId="30" fillId="13" borderId="1" xfId="0" applyFont="1" applyFill="1" applyBorder="1" applyAlignment="1">
      <alignment horizontal="left" vertical="center" wrapText="1"/>
    </xf>
    <xf numFmtId="0" fontId="56" fillId="5" borderId="1" xfId="0" applyFont="1" applyFill="1" applyBorder="1" applyAlignment="1">
      <alignment horizontal="left" vertical="center" wrapText="1"/>
    </xf>
    <xf numFmtId="0" fontId="30" fillId="9" borderId="1" xfId="0" applyFont="1" applyFill="1" applyBorder="1" applyAlignment="1">
      <alignment horizontal="left" vertical="center" wrapText="1"/>
    </xf>
    <xf numFmtId="0" fontId="32" fillId="0" borderId="0" xfId="0" applyFont="1" applyAlignment="1">
      <alignment horizontal="left" vertical="center"/>
    </xf>
    <xf numFmtId="0" fontId="30" fillId="0" borderId="0" xfId="0" applyFont="1" applyAlignment="1">
      <alignment horizontal="left" vertical="center" wrapText="1"/>
    </xf>
    <xf numFmtId="0" fontId="30" fillId="6" borderId="1" xfId="0" applyFont="1" applyFill="1" applyBorder="1" applyAlignment="1">
      <alignment horizontal="left" vertical="center" wrapText="1"/>
    </xf>
    <xf numFmtId="0" fontId="59" fillId="0" borderId="26" xfId="0" applyFont="1" applyBorder="1" applyAlignment="1">
      <alignment horizontal="center" vertical="center"/>
    </xf>
    <xf numFmtId="0" fontId="23" fillId="0" borderId="0" xfId="0" applyFont="1" applyAlignment="1">
      <alignment horizontal="center" vertical="center"/>
    </xf>
    <xf numFmtId="0" fontId="29" fillId="4" borderId="22" xfId="0" applyFont="1" applyFill="1" applyBorder="1" applyAlignment="1">
      <alignment horizontal="left" vertical="center"/>
    </xf>
    <xf numFmtId="0" fontId="29" fillId="4" borderId="23" xfId="0" applyFont="1" applyFill="1" applyBorder="1" applyAlignment="1">
      <alignment horizontal="left" vertical="center"/>
    </xf>
    <xf numFmtId="0" fontId="29" fillId="4" borderId="24" xfId="0" applyFont="1" applyFill="1" applyBorder="1" applyAlignment="1">
      <alignment horizontal="left" vertical="center"/>
    </xf>
    <xf numFmtId="0" fontId="29" fillId="8" borderId="40" xfId="0" applyFont="1" applyFill="1" applyBorder="1" applyAlignment="1">
      <alignment horizontal="center" vertical="center"/>
    </xf>
    <xf numFmtId="0" fontId="29" fillId="8" borderId="41" xfId="0" applyFont="1" applyFill="1" applyBorder="1" applyAlignment="1">
      <alignment horizontal="center" vertical="center"/>
    </xf>
    <xf numFmtId="0" fontId="23" fillId="8" borderId="20" xfId="0" applyFont="1" applyFill="1" applyBorder="1" applyAlignment="1">
      <alignment horizontal="left" vertical="center"/>
    </xf>
    <xf numFmtId="0" fontId="23" fillId="8" borderId="9" xfId="0" applyFont="1" applyFill="1" applyBorder="1" applyAlignment="1">
      <alignment horizontal="left" vertical="center"/>
    </xf>
    <xf numFmtId="0" fontId="23" fillId="8" borderId="11" xfId="0" applyFont="1" applyFill="1" applyBorder="1" applyAlignment="1">
      <alignment horizontal="left" vertical="center"/>
    </xf>
    <xf numFmtId="0" fontId="29" fillId="0" borderId="9" xfId="0" applyFont="1" applyBorder="1" applyAlignment="1">
      <alignment horizontal="center" vertical="center"/>
    </xf>
    <xf numFmtId="0" fontId="29" fillId="0" borderId="21" xfId="0" applyFont="1" applyBorder="1" applyAlignment="1">
      <alignment horizontal="center" vertical="center"/>
    </xf>
    <xf numFmtId="0" fontId="23" fillId="8" borderId="22" xfId="0" applyFont="1" applyFill="1" applyBorder="1" applyAlignment="1">
      <alignment horizontal="left" vertical="center"/>
    </xf>
    <xf numFmtId="0" fontId="23" fillId="8" borderId="23" xfId="0" applyFont="1" applyFill="1" applyBorder="1" applyAlignment="1">
      <alignment horizontal="left" vertical="center"/>
    </xf>
    <xf numFmtId="0" fontId="23" fillId="8" borderId="38" xfId="0" applyFont="1" applyFill="1" applyBorder="1" applyAlignment="1">
      <alignment horizontal="left" vertical="center"/>
    </xf>
    <xf numFmtId="0" fontId="29" fillId="0" borderId="22" xfId="0" applyFont="1" applyBorder="1" applyAlignment="1">
      <alignment horizontal="left" vertical="center"/>
    </xf>
    <xf numFmtId="0" fontId="29" fillId="0" borderId="23" xfId="0" applyFont="1" applyBorder="1" applyAlignment="1">
      <alignment horizontal="left" vertical="center"/>
    </xf>
    <xf numFmtId="0" fontId="29" fillId="0" borderId="24" xfId="0" applyFont="1" applyBorder="1" applyAlignment="1">
      <alignment horizontal="left" vertical="center"/>
    </xf>
    <xf numFmtId="0" fontId="23" fillId="8" borderId="35" xfId="0" applyFont="1" applyFill="1" applyBorder="1" applyAlignment="1">
      <alignment horizontal="left" vertical="center"/>
    </xf>
    <xf numFmtId="0" fontId="23" fillId="8" borderId="36" xfId="0" applyFont="1" applyFill="1" applyBorder="1" applyAlignment="1">
      <alignment horizontal="left" vertical="center"/>
    </xf>
    <xf numFmtId="0" fontId="23" fillId="8" borderId="31" xfId="0" applyFont="1" applyFill="1" applyBorder="1" applyAlignment="1">
      <alignment horizontal="left" vertical="center"/>
    </xf>
    <xf numFmtId="0" fontId="23" fillId="8" borderId="10" xfId="0" applyFont="1" applyFill="1" applyBorder="1" applyAlignment="1">
      <alignment horizontal="left" vertical="center"/>
    </xf>
    <xf numFmtId="0" fontId="23" fillId="8" borderId="56" xfId="0" applyFont="1" applyFill="1" applyBorder="1" applyAlignment="1">
      <alignment horizontal="left" vertical="center"/>
    </xf>
    <xf numFmtId="0" fontId="23" fillId="8" borderId="57" xfId="0" applyFont="1" applyFill="1" applyBorder="1" applyAlignment="1">
      <alignment horizontal="left" vertical="center"/>
    </xf>
    <xf numFmtId="0" fontId="21" fillId="4" borderId="47" xfId="0" applyFont="1" applyFill="1" applyBorder="1" applyAlignment="1">
      <alignment horizontal="left" vertical="center" wrapText="1"/>
    </xf>
    <xf numFmtId="0" fontId="21" fillId="4" borderId="48" xfId="0" applyFont="1" applyFill="1" applyBorder="1" applyAlignment="1">
      <alignment horizontal="left" vertical="center" wrapText="1"/>
    </xf>
    <xf numFmtId="0" fontId="23" fillId="8" borderId="40" xfId="0" applyFont="1" applyFill="1" applyBorder="1" applyAlignment="1">
      <alignment horizontal="center" vertical="center"/>
    </xf>
    <xf numFmtId="0" fontId="23" fillId="8" borderId="41" xfId="0" applyFont="1" applyFill="1" applyBorder="1" applyAlignment="1">
      <alignment horizontal="center" vertical="center"/>
    </xf>
    <xf numFmtId="0" fontId="23" fillId="8" borderId="55" xfId="0" applyFont="1" applyFill="1" applyBorder="1" applyAlignment="1">
      <alignment horizontal="center" vertical="center"/>
    </xf>
    <xf numFmtId="0" fontId="21" fillId="4" borderId="40" xfId="0" applyFont="1" applyFill="1" applyBorder="1" applyAlignment="1">
      <alignment horizontal="left" vertical="center" wrapText="1"/>
    </xf>
    <xf numFmtId="0" fontId="21" fillId="4" borderId="41" xfId="0" applyFont="1" applyFill="1" applyBorder="1" applyAlignment="1">
      <alignment horizontal="left" vertical="center" wrapText="1"/>
    </xf>
    <xf numFmtId="0" fontId="1" fillId="0" borderId="71" xfId="0" applyFont="1" applyBorder="1" applyAlignment="1" applyProtection="1">
      <alignment horizontal="left" vertical="top" wrapText="1"/>
      <protection locked="0"/>
    </xf>
    <xf numFmtId="0" fontId="1" fillId="0" borderId="69" xfId="0" applyFont="1" applyBorder="1" applyAlignment="1" applyProtection="1">
      <alignment horizontal="left" vertical="top" wrapText="1"/>
      <protection locked="0"/>
    </xf>
    <xf numFmtId="0" fontId="1" fillId="0" borderId="70" xfId="0" applyFont="1" applyBorder="1" applyAlignment="1" applyProtection="1">
      <alignment horizontal="left" vertical="top" wrapText="1"/>
      <protection locked="0"/>
    </xf>
    <xf numFmtId="0" fontId="31" fillId="7" borderId="40" xfId="0" applyFont="1" applyFill="1" applyBorder="1" applyAlignment="1">
      <alignment horizontal="center" vertical="center"/>
    </xf>
    <xf numFmtId="0" fontId="31" fillId="7" borderId="41" xfId="0" applyFont="1" applyFill="1" applyBorder="1" applyAlignment="1">
      <alignment horizontal="center" vertical="center"/>
    </xf>
    <xf numFmtId="0" fontId="31" fillId="7" borderId="55" xfId="0" applyFont="1" applyFill="1" applyBorder="1" applyAlignment="1">
      <alignment horizontal="center" vertical="center"/>
    </xf>
    <xf numFmtId="0" fontId="31" fillId="8" borderId="47" xfId="0" applyFont="1" applyFill="1" applyBorder="1" applyAlignment="1">
      <alignment horizontal="center" vertical="center"/>
    </xf>
    <xf numFmtId="0" fontId="31" fillId="8" borderId="48" xfId="0" applyFont="1" applyFill="1" applyBorder="1" applyAlignment="1">
      <alignment horizontal="center" vertical="center"/>
    </xf>
    <xf numFmtId="0" fontId="31" fillId="8" borderId="70" xfId="0" applyFont="1" applyFill="1" applyBorder="1" applyAlignment="1">
      <alignment horizontal="center" vertical="center"/>
    </xf>
    <xf numFmtId="0" fontId="23" fillId="8" borderId="17" xfId="0" applyFont="1" applyFill="1" applyBorder="1" applyAlignment="1">
      <alignment horizontal="left" vertical="center"/>
    </xf>
    <xf numFmtId="0" fontId="23" fillId="8" borderId="18" xfId="0" applyFont="1" applyFill="1" applyBorder="1" applyAlignment="1">
      <alignment horizontal="left" vertical="center"/>
    </xf>
    <xf numFmtId="0" fontId="23" fillId="8" borderId="64" xfId="0" applyFont="1" applyFill="1" applyBorder="1" applyAlignment="1">
      <alignment horizontal="left" vertical="center"/>
    </xf>
    <xf numFmtId="0" fontId="29" fillId="0" borderId="18" xfId="0" applyFont="1" applyBorder="1" applyAlignment="1">
      <alignment horizontal="center" vertical="center"/>
    </xf>
    <xf numFmtId="0" fontId="29" fillId="0" borderId="19" xfId="0" applyFont="1" applyBorder="1" applyAlignment="1">
      <alignment horizontal="center" vertical="center"/>
    </xf>
    <xf numFmtId="0" fontId="1" fillId="0" borderId="73" xfId="0" applyFont="1" applyBorder="1" applyAlignment="1" applyProtection="1">
      <alignment horizontal="left" vertical="top" wrapText="1"/>
      <protection locked="0"/>
    </xf>
    <xf numFmtId="0" fontId="1" fillId="0" borderId="68" xfId="0" applyFont="1" applyBorder="1" applyAlignment="1" applyProtection="1">
      <alignment horizontal="left" vertical="top" wrapText="1"/>
      <protection locked="0"/>
    </xf>
    <xf numFmtId="0" fontId="1" fillId="0" borderId="48" xfId="0" applyFont="1" applyBorder="1" applyAlignment="1" applyProtection="1">
      <alignment horizontal="left" vertical="top" wrapText="1"/>
      <protection locked="0"/>
    </xf>
    <xf numFmtId="0" fontId="29" fillId="0" borderId="20" xfId="0" applyFont="1" applyBorder="1" applyAlignment="1">
      <alignment horizontal="left" vertical="center"/>
    </xf>
    <xf numFmtId="0" fontId="29" fillId="0" borderId="9" xfId="0" applyFont="1" applyBorder="1" applyAlignment="1">
      <alignment horizontal="left" vertical="center"/>
    </xf>
    <xf numFmtId="0" fontId="29" fillId="0" borderId="21" xfId="0" applyFont="1" applyBorder="1" applyAlignment="1">
      <alignment horizontal="left" vertical="center"/>
    </xf>
    <xf numFmtId="0" fontId="21" fillId="6" borderId="40" xfId="0" applyFont="1" applyFill="1" applyBorder="1" applyAlignment="1">
      <alignment horizontal="center" vertical="center"/>
    </xf>
    <xf numFmtId="0" fontId="21" fillId="6" borderId="55" xfId="0" applyFont="1" applyFill="1" applyBorder="1" applyAlignment="1">
      <alignment horizontal="center" vertical="center"/>
    </xf>
    <xf numFmtId="0" fontId="29" fillId="0" borderId="22" xfId="0" applyFont="1" applyBorder="1" applyAlignment="1" applyProtection="1">
      <alignment horizontal="left" vertical="center"/>
      <protection locked="0"/>
    </xf>
    <xf numFmtId="0" fontId="29" fillId="0" borderId="24" xfId="0" applyFont="1" applyBorder="1" applyAlignment="1" applyProtection="1">
      <alignment horizontal="left" vertical="center"/>
      <protection locked="0"/>
    </xf>
    <xf numFmtId="0" fontId="29" fillId="0" borderId="20" xfId="0" applyFont="1" applyBorder="1" applyAlignment="1" applyProtection="1">
      <alignment horizontal="left" vertical="center"/>
      <protection locked="0"/>
    </xf>
    <xf numFmtId="0" fontId="29" fillId="0" borderId="21" xfId="0" applyFont="1" applyBorder="1" applyAlignment="1" applyProtection="1">
      <alignment horizontal="left" vertical="center"/>
      <protection locked="0"/>
    </xf>
    <xf numFmtId="0" fontId="29" fillId="0" borderId="32" xfId="0" applyFont="1" applyBorder="1" applyAlignment="1" applyProtection="1">
      <alignment horizontal="left" vertical="center"/>
      <protection locked="0"/>
    </xf>
    <xf numFmtId="0" fontId="29" fillId="0" borderId="65" xfId="0" applyFont="1" applyBorder="1" applyAlignment="1" applyProtection="1">
      <alignment horizontal="left" vertical="center"/>
      <protection locked="0"/>
    </xf>
    <xf numFmtId="0" fontId="23" fillId="4" borderId="2" xfId="0" applyFont="1" applyFill="1" applyBorder="1" applyAlignment="1">
      <alignment horizontal="left" vertical="center" wrapText="1"/>
    </xf>
    <xf numFmtId="0" fontId="23" fillId="4" borderId="49" xfId="0" applyFont="1" applyFill="1" applyBorder="1" applyAlignment="1">
      <alignment horizontal="left" vertical="center" wrapText="1"/>
    </xf>
    <xf numFmtId="0" fontId="1" fillId="0" borderId="19" xfId="0" applyFont="1" applyBorder="1" applyAlignment="1" applyProtection="1">
      <alignment horizontal="left" vertical="top" wrapText="1"/>
      <protection locked="0"/>
    </xf>
    <xf numFmtId="0" fontId="1" fillId="0" borderId="24" xfId="0" applyFont="1" applyBorder="1" applyAlignment="1" applyProtection="1">
      <alignment horizontal="left" vertical="top" wrapText="1"/>
      <protection locked="0"/>
    </xf>
    <xf numFmtId="0" fontId="1" fillId="0" borderId="18" xfId="0" applyFont="1" applyBorder="1" applyAlignment="1" applyProtection="1">
      <alignment horizontal="left" vertical="top" wrapText="1"/>
      <protection locked="0"/>
    </xf>
    <xf numFmtId="0" fontId="1" fillId="0" borderId="23" xfId="0" applyFont="1" applyBorder="1" applyAlignment="1" applyProtection="1">
      <alignment horizontal="left" vertical="top" wrapText="1"/>
      <protection locked="0"/>
    </xf>
    <xf numFmtId="0" fontId="23" fillId="4" borderId="25" xfId="0" applyFont="1" applyFill="1" applyBorder="1" applyAlignment="1">
      <alignment horizontal="left" vertical="center" wrapText="1"/>
    </xf>
    <xf numFmtId="0" fontId="23" fillId="4" borderId="76" xfId="0" applyFont="1" applyFill="1" applyBorder="1" applyAlignment="1">
      <alignment horizontal="left" vertical="center" wrapText="1"/>
    </xf>
    <xf numFmtId="0" fontId="1" fillId="0" borderId="17" xfId="0" applyFont="1" applyBorder="1" applyAlignment="1" applyProtection="1">
      <alignment horizontal="left" vertical="top"/>
      <protection locked="0"/>
    </xf>
    <xf numFmtId="0" fontId="1" fillId="0" borderId="18" xfId="0" applyFont="1" applyBorder="1" applyAlignment="1" applyProtection="1">
      <alignment horizontal="left" vertical="top"/>
      <protection locked="0"/>
    </xf>
    <xf numFmtId="0" fontId="1" fillId="0" borderId="19" xfId="0" applyFont="1" applyBorder="1" applyAlignment="1" applyProtection="1">
      <alignment horizontal="left" vertical="top"/>
      <protection locked="0"/>
    </xf>
    <xf numFmtId="0" fontId="23" fillId="8" borderId="73" xfId="0" applyFont="1" applyFill="1" applyBorder="1" applyAlignment="1">
      <alignment horizontal="center" vertical="center"/>
    </xf>
    <xf numFmtId="0" fontId="23" fillId="8" borderId="71" xfId="0" applyFont="1" applyFill="1" applyBorder="1" applyAlignment="1">
      <alignment horizontal="center" vertical="center"/>
    </xf>
    <xf numFmtId="0" fontId="23" fillId="4" borderId="60" xfId="0" applyFont="1" applyFill="1" applyBorder="1" applyAlignment="1">
      <alignment horizontal="left" vertical="center" wrapText="1"/>
    </xf>
    <xf numFmtId="0" fontId="23" fillId="4" borderId="72" xfId="0" applyFont="1" applyFill="1" applyBorder="1" applyAlignment="1">
      <alignment horizontal="left" vertical="center" wrapText="1"/>
    </xf>
    <xf numFmtId="0" fontId="23" fillId="8" borderId="66" xfId="0" applyFont="1" applyFill="1" applyBorder="1" applyAlignment="1">
      <alignment horizontal="center" vertical="center"/>
    </xf>
    <xf numFmtId="0" fontId="29" fillId="6" borderId="20" xfId="0" applyFont="1" applyFill="1" applyBorder="1" applyAlignment="1">
      <alignment horizontal="left" vertical="center"/>
    </xf>
    <xf numFmtId="0" fontId="29" fillId="6" borderId="9" xfId="0" applyFont="1" applyFill="1" applyBorder="1" applyAlignment="1">
      <alignment horizontal="left" vertical="center"/>
    </xf>
    <xf numFmtId="0" fontId="29" fillId="6" borderId="21" xfId="0" applyFont="1" applyFill="1" applyBorder="1" applyAlignment="1">
      <alignment horizontal="left" vertical="center"/>
    </xf>
    <xf numFmtId="0" fontId="29" fillId="6" borderId="22" xfId="0" applyFont="1" applyFill="1" applyBorder="1" applyAlignment="1">
      <alignment horizontal="left" vertical="center"/>
    </xf>
    <xf numFmtId="0" fontId="29" fillId="6" borderId="23" xfId="0" applyFont="1" applyFill="1" applyBorder="1" applyAlignment="1">
      <alignment horizontal="left" vertical="center"/>
    </xf>
    <xf numFmtId="0" fontId="29" fillId="6" borderId="24" xfId="0" applyFont="1" applyFill="1" applyBorder="1" applyAlignment="1">
      <alignment horizontal="left" vertical="center"/>
    </xf>
    <xf numFmtId="0" fontId="23" fillId="4" borderId="2" xfId="0" applyFont="1" applyFill="1" applyBorder="1" applyAlignment="1">
      <alignment horizontal="center" vertical="center"/>
    </xf>
    <xf numFmtId="0" fontId="23" fillId="4" borderId="3" xfId="0" applyFont="1" applyFill="1" applyBorder="1" applyAlignment="1">
      <alignment horizontal="center" vertical="center"/>
    </xf>
    <xf numFmtId="0" fontId="23" fillId="4" borderId="4" xfId="0" applyFont="1" applyFill="1" applyBorder="1" applyAlignment="1">
      <alignment horizontal="center" vertical="center"/>
    </xf>
    <xf numFmtId="0" fontId="23" fillId="6" borderId="2" xfId="0" applyFont="1" applyFill="1" applyBorder="1" applyAlignment="1">
      <alignment horizontal="center" vertical="center"/>
    </xf>
    <xf numFmtId="0" fontId="23" fillId="6" borderId="3" xfId="0" applyFont="1" applyFill="1" applyBorder="1" applyAlignment="1">
      <alignment horizontal="center" vertical="center"/>
    </xf>
    <xf numFmtId="0" fontId="23" fillId="6" borderId="4" xfId="0" applyFont="1" applyFill="1" applyBorder="1" applyAlignment="1">
      <alignment horizontal="center" vertical="center"/>
    </xf>
    <xf numFmtId="0" fontId="23" fillId="6" borderId="66" xfId="0" applyFont="1" applyFill="1" applyBorder="1" applyAlignment="1">
      <alignment horizontal="center" vertical="center"/>
    </xf>
    <xf numFmtId="0" fontId="23" fillId="6" borderId="73" xfId="0" applyFont="1" applyFill="1" applyBorder="1" applyAlignment="1">
      <alignment horizontal="center" vertical="center"/>
    </xf>
    <xf numFmtId="0" fontId="23" fillId="6" borderId="74" xfId="0" applyFont="1" applyFill="1" applyBorder="1" applyAlignment="1">
      <alignment horizontal="center" vertical="center"/>
    </xf>
    <xf numFmtId="0" fontId="23" fillId="6" borderId="71" xfId="0" applyFont="1" applyFill="1" applyBorder="1" applyAlignment="1">
      <alignment horizontal="center" vertical="center"/>
    </xf>
    <xf numFmtId="0" fontId="23" fillId="4" borderId="66" xfId="0" applyFont="1" applyFill="1" applyBorder="1" applyAlignment="1">
      <alignment horizontal="center" vertical="center"/>
    </xf>
    <xf numFmtId="0" fontId="23" fillId="4" borderId="73" xfId="0" applyFont="1" applyFill="1" applyBorder="1" applyAlignment="1">
      <alignment horizontal="center" vertical="center"/>
    </xf>
    <xf numFmtId="0" fontId="23" fillId="4" borderId="74" xfId="0" applyFont="1" applyFill="1" applyBorder="1" applyAlignment="1">
      <alignment horizontal="center" vertical="center"/>
    </xf>
    <xf numFmtId="0" fontId="23" fillId="4" borderId="71" xfId="0" applyFont="1" applyFill="1" applyBorder="1" applyAlignment="1">
      <alignment horizontal="center" vertical="center"/>
    </xf>
    <xf numFmtId="0" fontId="29" fillId="4" borderId="20" xfId="0" applyFont="1" applyFill="1" applyBorder="1" applyAlignment="1">
      <alignment horizontal="left" vertical="center"/>
    </xf>
    <xf numFmtId="0" fontId="29" fillId="4" borderId="9" xfId="0" applyFont="1" applyFill="1" applyBorder="1" applyAlignment="1">
      <alignment horizontal="left" vertical="center"/>
    </xf>
    <xf numFmtId="0" fontId="29" fillId="4" borderId="21" xfId="0" applyFont="1" applyFill="1" applyBorder="1" applyAlignment="1">
      <alignment horizontal="left" vertical="center"/>
    </xf>
    <xf numFmtId="0" fontId="3" fillId="7" borderId="40" xfId="0" applyFont="1" applyFill="1" applyBorder="1" applyAlignment="1">
      <alignment horizontal="center" vertical="center" wrapText="1"/>
    </xf>
    <xf numFmtId="0" fontId="3" fillId="7" borderId="41" xfId="0" applyFont="1" applyFill="1" applyBorder="1" applyAlignment="1">
      <alignment horizontal="center" vertical="center" wrapText="1"/>
    </xf>
    <xf numFmtId="0" fontId="3" fillId="7" borderId="55" xfId="0" applyFont="1" applyFill="1" applyBorder="1" applyAlignment="1">
      <alignment horizontal="center" vertical="center" wrapText="1"/>
    </xf>
    <xf numFmtId="0" fontId="11" fillId="2" borderId="17" xfId="0" applyFont="1" applyFill="1" applyBorder="1" applyAlignment="1">
      <alignment horizontal="left" vertical="center" wrapText="1"/>
    </xf>
    <xf numFmtId="0" fontId="11" fillId="2" borderId="18" xfId="0" applyFont="1" applyFill="1" applyBorder="1" applyAlignment="1">
      <alignment horizontal="left" vertical="center" wrapText="1"/>
    </xf>
    <xf numFmtId="0" fontId="11" fillId="2" borderId="19" xfId="0" applyFont="1" applyFill="1" applyBorder="1" applyAlignment="1">
      <alignment horizontal="left" vertical="center" wrapText="1"/>
    </xf>
    <xf numFmtId="0" fontId="11" fillId="2" borderId="20" xfId="0" applyFont="1" applyFill="1" applyBorder="1" applyAlignment="1">
      <alignment horizontal="left" vertical="center" wrapText="1"/>
    </xf>
    <xf numFmtId="0" fontId="11" fillId="2" borderId="9" xfId="0" applyFont="1" applyFill="1" applyBorder="1" applyAlignment="1">
      <alignment horizontal="left" vertical="center" wrapText="1"/>
    </xf>
    <xf numFmtId="0" fontId="11" fillId="2" borderId="21" xfId="0" applyFont="1" applyFill="1" applyBorder="1" applyAlignment="1">
      <alignment horizontal="left" vertical="center" wrapText="1"/>
    </xf>
    <xf numFmtId="0" fontId="11" fillId="0" borderId="20" xfId="0" applyFont="1" applyBorder="1" applyAlignment="1">
      <alignment horizontal="left" vertical="center" wrapText="1"/>
    </xf>
    <xf numFmtId="0" fontId="11" fillId="0" borderId="9" xfId="0" applyFont="1" applyBorder="1" applyAlignment="1">
      <alignment horizontal="left" vertical="center" wrapText="1"/>
    </xf>
    <xf numFmtId="0" fontId="11" fillId="0" borderId="21" xfId="0" applyFont="1" applyBorder="1" applyAlignment="1">
      <alignment horizontal="left" vertical="center" wrapText="1"/>
    </xf>
    <xf numFmtId="0" fontId="11" fillId="0" borderId="22" xfId="0" applyFont="1" applyBorder="1" applyAlignment="1">
      <alignment horizontal="left" vertical="center" wrapText="1"/>
    </xf>
    <xf numFmtId="0" fontId="11" fillId="0" borderId="23" xfId="0" applyFont="1" applyBorder="1" applyAlignment="1">
      <alignment horizontal="left" vertical="center" wrapText="1"/>
    </xf>
    <xf numFmtId="0" fontId="11" fillId="0" borderId="24" xfId="0" applyFont="1" applyBorder="1" applyAlignment="1">
      <alignment horizontal="left" vertical="center" wrapText="1"/>
    </xf>
    <xf numFmtId="0" fontId="10" fillId="8" borderId="3" xfId="0" applyFont="1" applyFill="1" applyBorder="1" applyAlignment="1">
      <alignment horizontal="left" vertical="center" wrapText="1"/>
    </xf>
    <xf numFmtId="0" fontId="9" fillId="8" borderId="3" xfId="0" applyFont="1" applyFill="1" applyBorder="1" applyAlignment="1">
      <alignment horizontal="left" vertical="center" wrapText="1"/>
    </xf>
    <xf numFmtId="0" fontId="9" fillId="8" borderId="4" xfId="0" applyFont="1" applyFill="1" applyBorder="1" applyAlignment="1">
      <alignment horizontal="left" vertical="center" wrapText="1"/>
    </xf>
    <xf numFmtId="0" fontId="11" fillId="0" borderId="12" xfId="0" applyFont="1" applyBorder="1" applyAlignment="1">
      <alignment vertical="center" wrapText="1"/>
    </xf>
    <xf numFmtId="0" fontId="11" fillId="0" borderId="11" xfId="0" applyFont="1" applyBorder="1" applyAlignment="1">
      <alignment vertical="center" wrapText="1"/>
    </xf>
    <xf numFmtId="0" fontId="11" fillId="0" borderId="44" xfId="0" applyFont="1" applyBorder="1" applyAlignment="1">
      <alignment vertical="center" wrapText="1"/>
    </xf>
    <xf numFmtId="0" fontId="11" fillId="0" borderId="38" xfId="0" applyFont="1" applyBorder="1" applyAlignment="1">
      <alignment vertical="center" wrapText="1"/>
    </xf>
    <xf numFmtId="0" fontId="11" fillId="0" borderId="52" xfId="0" applyFont="1" applyBorder="1" applyAlignment="1">
      <alignment vertical="center" wrapText="1"/>
    </xf>
    <xf numFmtId="0" fontId="11" fillId="0" borderId="50" xfId="0" applyFont="1" applyBorder="1" applyAlignment="1">
      <alignment vertical="center" wrapText="1"/>
    </xf>
    <xf numFmtId="0" fontId="11" fillId="0" borderId="31" xfId="0" applyFont="1" applyBorder="1" applyAlignment="1">
      <alignment vertical="center" wrapText="1"/>
    </xf>
    <xf numFmtId="0" fontId="11" fillId="0" borderId="10" xfId="0" applyFont="1" applyBorder="1" applyAlignment="1">
      <alignment vertical="center" wrapText="1"/>
    </xf>
    <xf numFmtId="0" fontId="11" fillId="0" borderId="30" xfId="0" applyFont="1" applyBorder="1" applyAlignment="1">
      <alignment vertical="center" wrapText="1"/>
    </xf>
    <xf numFmtId="0" fontId="11" fillId="0" borderId="56" xfId="0" applyFont="1" applyBorder="1" applyAlignment="1">
      <alignment vertical="center" wrapText="1"/>
    </xf>
    <xf numFmtId="0" fontId="11" fillId="0" borderId="57" xfId="0" applyFont="1" applyBorder="1" applyAlignment="1">
      <alignment vertical="center" wrapText="1"/>
    </xf>
    <xf numFmtId="0" fontId="11" fillId="0" borderId="39" xfId="0" applyFont="1" applyBorder="1" applyAlignment="1">
      <alignment vertical="center" wrapText="1"/>
    </xf>
    <xf numFmtId="0" fontId="11" fillId="0" borderId="51" xfId="0" applyFont="1" applyBorder="1" applyAlignment="1">
      <alignment vertical="center" wrapText="1"/>
    </xf>
    <xf numFmtId="0" fontId="13" fillId="0" borderId="27" xfId="0" applyFont="1" applyBorder="1" applyAlignment="1">
      <alignment horizontal="justify" wrapText="1"/>
    </xf>
    <xf numFmtId="0" fontId="10" fillId="0" borderId="0" xfId="0" applyFont="1" applyAlignment="1">
      <alignment wrapText="1"/>
    </xf>
    <xf numFmtId="0" fontId="10" fillId="0" borderId="16" xfId="0" applyFont="1" applyBorder="1" applyAlignment="1">
      <alignment wrapText="1"/>
    </xf>
    <xf numFmtId="0" fontId="13" fillId="7" borderId="2" xfId="0" applyFont="1" applyFill="1" applyBorder="1" applyAlignment="1">
      <alignment horizontal="center" vertical="top" wrapText="1"/>
    </xf>
    <xf numFmtId="0" fontId="9" fillId="7" borderId="3" xfId="0" applyFont="1" applyFill="1" applyBorder="1" applyAlignment="1">
      <alignment horizontal="center" wrapText="1"/>
    </xf>
    <xf numFmtId="0" fontId="9" fillId="7" borderId="4" xfId="0" applyFont="1" applyFill="1" applyBorder="1" applyAlignment="1">
      <alignment horizontal="center" wrapText="1"/>
    </xf>
    <xf numFmtId="0" fontId="12" fillId="8" borderId="2" xfId="0" applyFont="1" applyFill="1" applyBorder="1" applyAlignment="1">
      <alignment horizontal="center" vertical="center" wrapText="1"/>
    </xf>
    <xf numFmtId="0" fontId="12" fillId="8" borderId="4" xfId="0" applyFont="1" applyFill="1" applyBorder="1" applyAlignment="1">
      <alignment horizontal="center" vertical="center" wrapText="1"/>
    </xf>
    <xf numFmtId="0" fontId="12" fillId="8" borderId="3" xfId="0" applyFont="1" applyFill="1" applyBorder="1" applyAlignment="1">
      <alignment horizontal="center" vertical="center" wrapText="1"/>
    </xf>
    <xf numFmtId="0" fontId="11" fillId="0" borderId="0" xfId="0" applyFont="1" applyAlignment="1">
      <alignment horizontal="left" vertical="center" wrapText="1"/>
    </xf>
    <xf numFmtId="0" fontId="11" fillId="0" borderId="16" xfId="0" applyFont="1" applyBorder="1" applyAlignment="1">
      <alignment horizontal="left" vertical="center" wrapText="1"/>
    </xf>
    <xf numFmtId="0" fontId="11" fillId="0" borderId="0" xfId="0" applyFont="1" applyAlignment="1">
      <alignment vertical="center" wrapText="1"/>
    </xf>
    <xf numFmtId="0" fontId="11" fillId="0" borderId="16" xfId="0" applyFont="1" applyBorder="1" applyAlignment="1">
      <alignment vertical="center" wrapText="1"/>
    </xf>
    <xf numFmtId="0" fontId="26" fillId="7" borderId="2" xfId="0" applyFont="1" applyFill="1" applyBorder="1" applyAlignment="1">
      <alignment horizontal="center" vertical="center" wrapText="1"/>
    </xf>
    <xf numFmtId="0" fontId="26" fillId="7" borderId="3" xfId="0" applyFont="1" applyFill="1" applyBorder="1" applyAlignment="1">
      <alignment horizontal="center" vertical="center" wrapText="1"/>
    </xf>
    <xf numFmtId="0" fontId="26" fillId="7" borderId="4" xfId="0" applyFont="1" applyFill="1" applyBorder="1" applyAlignment="1">
      <alignment horizontal="center" vertical="center" wrapText="1"/>
    </xf>
    <xf numFmtId="0" fontId="19" fillId="8" borderId="2" xfId="0" applyFont="1" applyFill="1" applyBorder="1" applyAlignment="1">
      <alignment vertical="center" wrapText="1"/>
    </xf>
    <xf numFmtId="0" fontId="15" fillId="8" borderId="3" xfId="0" applyFont="1" applyFill="1" applyBorder="1" applyAlignment="1">
      <alignment vertical="center" wrapText="1"/>
    </xf>
    <xf numFmtId="0" fontId="15" fillId="8" borderId="4" xfId="0" applyFont="1" applyFill="1" applyBorder="1" applyAlignment="1">
      <alignment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11" fillId="0" borderId="62" xfId="0" applyFont="1" applyBorder="1" applyAlignment="1">
      <alignment vertical="center" wrapText="1"/>
    </xf>
    <xf numFmtId="0" fontId="11" fillId="0" borderId="34" xfId="0" applyFont="1" applyBorder="1" applyAlignment="1">
      <alignment vertical="center" wrapText="1"/>
    </xf>
    <xf numFmtId="0" fontId="11" fillId="0" borderId="33" xfId="0" applyFont="1" applyBorder="1" applyAlignment="1">
      <alignment vertical="center" wrapText="1"/>
    </xf>
    <xf numFmtId="0" fontId="11" fillId="0" borderId="28" xfId="0" applyFont="1" applyBorder="1" applyAlignment="1">
      <alignment vertical="center" wrapText="1"/>
    </xf>
    <xf numFmtId="0" fontId="11" fillId="0" borderId="8" xfId="0" applyFont="1" applyBorder="1" applyAlignment="1">
      <alignment vertical="center" wrapText="1"/>
    </xf>
    <xf numFmtId="0" fontId="11" fillId="0" borderId="29" xfId="0" applyFont="1" applyBorder="1" applyAlignment="1">
      <alignment vertical="center" wrapText="1"/>
    </xf>
    <xf numFmtId="0" fontId="12" fillId="0" borderId="25" xfId="0" applyFont="1" applyBorder="1" applyAlignment="1">
      <alignment horizontal="left" vertical="center"/>
    </xf>
    <xf numFmtId="0" fontId="12" fillId="0" borderId="26" xfId="0" applyFont="1" applyBorder="1" applyAlignment="1">
      <alignment horizontal="left" vertical="center"/>
    </xf>
    <xf numFmtId="0" fontId="12" fillId="0" borderId="15" xfId="0" applyFont="1" applyBorder="1" applyAlignment="1">
      <alignment horizontal="left" vertical="center"/>
    </xf>
    <xf numFmtId="0" fontId="11" fillId="0" borderId="60" xfId="0" applyFont="1" applyBorder="1" applyAlignment="1">
      <alignment horizontal="left" vertical="center"/>
    </xf>
    <xf numFmtId="0" fontId="11" fillId="0" borderId="5" xfId="0" applyFont="1" applyBorder="1" applyAlignment="1">
      <alignment horizontal="left" vertical="center"/>
    </xf>
    <xf numFmtId="0" fontId="11" fillId="0" borderId="61" xfId="0" applyFont="1" applyBorder="1" applyAlignment="1">
      <alignment horizontal="left" vertical="center"/>
    </xf>
    <xf numFmtId="0" fontId="12" fillId="0" borderId="27" xfId="0" applyFont="1" applyBorder="1" applyAlignment="1">
      <alignment horizontal="left" vertical="center"/>
    </xf>
    <xf numFmtId="0" fontId="12" fillId="0" borderId="0" xfId="0" applyFont="1" applyAlignment="1">
      <alignment horizontal="left" vertical="center"/>
    </xf>
    <xf numFmtId="0" fontId="12" fillId="0" borderId="16" xfId="0" applyFont="1" applyBorder="1" applyAlignment="1">
      <alignment horizontal="left" vertical="center"/>
    </xf>
    <xf numFmtId="0" fontId="11" fillId="0" borderId="20" xfId="0" applyFont="1" applyBorder="1" applyAlignment="1">
      <alignment vertical="center" wrapText="1"/>
    </xf>
    <xf numFmtId="0" fontId="11" fillId="0" borderId="9" xfId="0" applyFont="1" applyBorder="1" applyAlignment="1">
      <alignment vertical="center" wrapText="1"/>
    </xf>
    <xf numFmtId="0" fontId="11" fillId="0" borderId="21" xfId="0" applyFont="1" applyBorder="1" applyAlignment="1">
      <alignment vertical="center" wrapText="1"/>
    </xf>
    <xf numFmtId="0" fontId="11" fillId="0" borderId="45" xfId="0" applyFont="1" applyBorder="1" applyAlignment="1">
      <alignment vertical="center" wrapText="1"/>
    </xf>
    <xf numFmtId="0" fontId="11" fillId="0" borderId="13" xfId="0" applyFont="1" applyBorder="1" applyAlignment="1">
      <alignment vertical="center" wrapText="1"/>
    </xf>
    <xf numFmtId="0" fontId="11" fillId="0" borderId="54" xfId="0" applyFont="1" applyBorder="1" applyAlignment="1">
      <alignment vertical="center" wrapText="1"/>
    </xf>
    <xf numFmtId="0" fontId="12" fillId="0" borderId="53" xfId="0" applyFont="1" applyBorder="1" applyAlignment="1">
      <alignment horizontal="center" vertical="center" wrapText="1"/>
    </xf>
    <xf numFmtId="0" fontId="11" fillId="0" borderId="58" xfId="0" applyFont="1" applyBorder="1" applyAlignment="1">
      <alignment vertical="center" wrapText="1"/>
    </xf>
    <xf numFmtId="0" fontId="11" fillId="0" borderId="46" xfId="0" applyFont="1" applyBorder="1" applyAlignment="1">
      <alignment vertical="center" wrapText="1"/>
    </xf>
    <xf numFmtId="0" fontId="69" fillId="11" borderId="2" xfId="0" applyFont="1" applyFill="1" applyBorder="1" applyAlignment="1">
      <alignment horizontal="left" vertical="center"/>
    </xf>
    <xf numFmtId="0" fontId="69" fillId="11" borderId="3" xfId="0" applyFont="1" applyFill="1" applyBorder="1" applyAlignment="1">
      <alignment horizontal="left" vertical="center"/>
    </xf>
    <xf numFmtId="0" fontId="69" fillId="11" borderId="4" xfId="0" applyFont="1" applyFill="1" applyBorder="1" applyAlignment="1">
      <alignment horizontal="left" vertical="center"/>
    </xf>
    <xf numFmtId="0" fontId="32" fillId="5" borderId="2" xfId="0" applyFont="1" applyFill="1" applyBorder="1" applyAlignment="1">
      <alignment horizontal="left" vertical="center"/>
    </xf>
    <xf numFmtId="0" fontId="32" fillId="5" borderId="3" xfId="0" applyFont="1" applyFill="1" applyBorder="1" applyAlignment="1">
      <alignment horizontal="left" vertical="center"/>
    </xf>
    <xf numFmtId="0" fontId="31" fillId="7" borderId="2" xfId="0" applyFont="1" applyFill="1" applyBorder="1" applyAlignment="1">
      <alignment horizontal="center" vertical="center"/>
    </xf>
    <xf numFmtId="0" fontId="31" fillId="7" borderId="3" xfId="0" applyFont="1" applyFill="1" applyBorder="1" applyAlignment="1">
      <alignment horizontal="center" vertical="center"/>
    </xf>
    <xf numFmtId="0" fontId="31" fillId="7" borderId="4" xfId="0" applyFont="1" applyFill="1" applyBorder="1" applyAlignment="1">
      <alignment horizontal="center" vertical="center"/>
    </xf>
    <xf numFmtId="0" fontId="32" fillId="9" borderId="2" xfId="0" applyFont="1" applyFill="1" applyBorder="1" applyAlignment="1">
      <alignment horizontal="left" vertical="center"/>
    </xf>
    <xf numFmtId="0" fontId="32" fillId="9" borderId="3" xfId="0" applyFont="1" applyFill="1" applyBorder="1" applyAlignment="1">
      <alignment horizontal="left" vertical="center"/>
    </xf>
    <xf numFmtId="0" fontId="32" fillId="10" borderId="2" xfId="0" applyFont="1" applyFill="1" applyBorder="1" applyAlignment="1">
      <alignment horizontal="left" vertical="center"/>
    </xf>
    <xf numFmtId="0" fontId="32" fillId="10" borderId="3" xfId="0" applyFont="1" applyFill="1" applyBorder="1" applyAlignment="1">
      <alignment horizontal="left" vertical="center"/>
    </xf>
    <xf numFmtId="0" fontId="32" fillId="10" borderId="4" xfId="0" applyFont="1" applyFill="1" applyBorder="1" applyAlignment="1">
      <alignment horizontal="left" vertical="center"/>
    </xf>
    <xf numFmtId="0" fontId="32" fillId="8" borderId="2" xfId="0" applyFont="1" applyFill="1" applyBorder="1" applyAlignment="1">
      <alignment horizontal="left" vertical="center"/>
    </xf>
    <xf numFmtId="0" fontId="32" fillId="8" borderId="3" xfId="0" applyFont="1" applyFill="1" applyBorder="1" applyAlignment="1">
      <alignment horizontal="left" vertical="center"/>
    </xf>
    <xf numFmtId="0" fontId="32" fillId="13" borderId="40" xfId="0" applyFont="1" applyFill="1" applyBorder="1" applyAlignment="1">
      <alignment horizontal="left" vertical="center"/>
    </xf>
    <xf numFmtId="0" fontId="32" fillId="13" borderId="42" xfId="0" applyFont="1" applyFill="1" applyBorder="1" applyAlignment="1">
      <alignment horizontal="left" vertical="center"/>
    </xf>
    <xf numFmtId="0" fontId="30" fillId="8" borderId="6" xfId="0" applyFont="1" applyFill="1" applyBorder="1" applyAlignment="1">
      <alignment horizontal="center" vertical="center" wrapText="1"/>
    </xf>
    <xf numFmtId="0" fontId="30" fillId="8" borderId="63" xfId="0" applyFont="1" applyFill="1" applyBorder="1" applyAlignment="1">
      <alignment horizontal="center" vertical="center" wrapText="1"/>
    </xf>
    <xf numFmtId="0" fontId="32" fillId="6" borderId="2" xfId="0" applyFont="1" applyFill="1" applyBorder="1" applyAlignment="1">
      <alignment horizontal="left" vertical="center"/>
    </xf>
    <xf numFmtId="0" fontId="32" fillId="6" borderId="3" xfId="0" applyFont="1" applyFill="1" applyBorder="1" applyAlignment="1">
      <alignment horizontal="left" vertical="center"/>
    </xf>
    <xf numFmtId="0" fontId="55" fillId="0" borderId="26" xfId="0" applyFont="1" applyBorder="1" applyAlignment="1">
      <alignment horizontal="center" vertical="center"/>
    </xf>
    <xf numFmtId="0" fontId="5" fillId="0" borderId="8" xfId="0" applyFont="1" applyBorder="1" applyAlignment="1">
      <alignment horizontal="center" vertical="center" wrapText="1"/>
    </xf>
    <xf numFmtId="0" fontId="1" fillId="0" borderId="56" xfId="0" applyFont="1" applyBorder="1" applyAlignment="1" applyProtection="1">
      <alignment horizontal="center" vertical="center"/>
      <protection locked="0"/>
    </xf>
    <xf numFmtId="0" fontId="1" fillId="0" borderId="44" xfId="0" applyFont="1" applyBorder="1" applyAlignment="1" applyProtection="1">
      <alignment horizontal="center" vertical="center"/>
      <protection locked="0"/>
    </xf>
    <xf numFmtId="0" fontId="32" fillId="9" borderId="2" xfId="0" applyFont="1" applyFill="1" applyBorder="1" applyAlignment="1">
      <alignment horizontal="center" vertical="center" wrapText="1"/>
    </xf>
    <xf numFmtId="0" fontId="32" fillId="9" borderId="3" xfId="0" applyFont="1" applyFill="1" applyBorder="1" applyAlignment="1">
      <alignment horizontal="center" vertical="center" wrapText="1"/>
    </xf>
    <xf numFmtId="0" fontId="32" fillId="9" borderId="4" xfId="0" applyFont="1" applyFill="1" applyBorder="1" applyAlignment="1">
      <alignment horizontal="center" vertical="center" wrapText="1"/>
    </xf>
    <xf numFmtId="0" fontId="21" fillId="4" borderId="2" xfId="0" applyFont="1" applyFill="1" applyBorder="1" applyAlignment="1">
      <alignment horizontal="left" vertical="center" wrapText="1"/>
    </xf>
    <xf numFmtId="0" fontId="21" fillId="4" borderId="3" xfId="0" applyFont="1" applyFill="1" applyBorder="1" applyAlignment="1">
      <alignment horizontal="left" vertical="center" wrapText="1"/>
    </xf>
    <xf numFmtId="0" fontId="21" fillId="4" borderId="4" xfId="0" applyFont="1" applyFill="1" applyBorder="1" applyAlignment="1">
      <alignment horizontal="left" vertical="center" wrapText="1"/>
    </xf>
    <xf numFmtId="0" fontId="4" fillId="0" borderId="1" xfId="0" applyFont="1" applyBorder="1" applyAlignment="1" applyProtection="1">
      <alignment horizontal="left" vertical="top" wrapText="1"/>
      <protection locked="0"/>
    </xf>
    <xf numFmtId="0" fontId="21" fillId="7" borderId="2" xfId="0" applyFont="1" applyFill="1" applyBorder="1" applyAlignment="1">
      <alignment horizontal="left" vertical="center"/>
    </xf>
    <xf numFmtId="0" fontId="21" fillId="7" borderId="3" xfId="0" applyFont="1" applyFill="1" applyBorder="1" applyAlignment="1">
      <alignment horizontal="left" vertical="center"/>
    </xf>
    <xf numFmtId="0" fontId="21" fillId="7" borderId="4" xfId="0" applyFont="1" applyFill="1" applyBorder="1" applyAlignment="1">
      <alignment horizontal="left" vertical="center"/>
    </xf>
    <xf numFmtId="0" fontId="2" fillId="6" borderId="6" xfId="0" applyFont="1" applyFill="1" applyBorder="1" applyAlignment="1">
      <alignment horizontal="center" vertical="center" textRotation="90" wrapText="1"/>
    </xf>
    <xf numFmtId="0" fontId="2" fillId="6" borderId="63" xfId="0" applyFont="1" applyFill="1" applyBorder="1" applyAlignment="1">
      <alignment horizontal="center" vertical="center" textRotation="90" wrapText="1"/>
    </xf>
    <xf numFmtId="0" fontId="2" fillId="6" borderId="7" xfId="0" applyFont="1" applyFill="1" applyBorder="1" applyAlignment="1">
      <alignment horizontal="center" vertical="center" textRotation="90" wrapText="1"/>
    </xf>
    <xf numFmtId="0" fontId="21" fillId="7" borderId="26" xfId="0" applyFont="1" applyFill="1" applyBorder="1" applyAlignment="1">
      <alignment horizontal="left" vertical="center"/>
    </xf>
    <xf numFmtId="0" fontId="21" fillId="7" borderId="15" xfId="0" applyFont="1" applyFill="1" applyBorder="1" applyAlignment="1">
      <alignment horizontal="left" vertical="center"/>
    </xf>
    <xf numFmtId="0" fontId="2" fillId="4" borderId="6" xfId="0" applyFont="1" applyFill="1" applyBorder="1" applyAlignment="1">
      <alignment horizontal="center" vertical="center" textRotation="90" wrapText="1"/>
    </xf>
    <xf numFmtId="0" fontId="2" fillId="4" borderId="63" xfId="0" applyFont="1" applyFill="1" applyBorder="1" applyAlignment="1">
      <alignment horizontal="center" vertical="center" textRotation="90" wrapText="1"/>
    </xf>
    <xf numFmtId="0" fontId="2" fillId="4" borderId="7" xfId="0" applyFont="1" applyFill="1" applyBorder="1" applyAlignment="1">
      <alignment horizontal="center" vertical="center" textRotation="90" wrapText="1"/>
    </xf>
    <xf numFmtId="15" fontId="1" fillId="0" borderId="56" xfId="0" applyNumberFormat="1" applyFont="1" applyBorder="1" applyAlignment="1" applyProtection="1">
      <alignment horizontal="center" vertical="center"/>
      <protection locked="0"/>
    </xf>
    <xf numFmtId="0" fontId="21" fillId="8" borderId="2" xfId="0" applyFont="1" applyFill="1" applyBorder="1" applyAlignment="1">
      <alignment horizontal="center" vertical="center"/>
    </xf>
    <xf numFmtId="0" fontId="21" fillId="8" borderId="3" xfId="0" applyFont="1" applyFill="1" applyBorder="1" applyAlignment="1">
      <alignment horizontal="center" vertical="center"/>
    </xf>
    <xf numFmtId="0" fontId="21" fillId="8" borderId="4" xfId="0" applyFont="1" applyFill="1" applyBorder="1" applyAlignment="1">
      <alignment horizontal="center" vertical="center"/>
    </xf>
    <xf numFmtId="0" fontId="1" fillId="0" borderId="3" xfId="0" applyFont="1" applyBorder="1" applyAlignment="1">
      <alignment horizontal="center" vertical="center"/>
    </xf>
    <xf numFmtId="0" fontId="4" fillId="0" borderId="22" xfId="0" applyFont="1" applyBorder="1" applyAlignment="1">
      <alignment horizontal="left" vertical="center" wrapText="1"/>
    </xf>
    <xf numFmtId="0" fontId="4" fillId="0" borderId="38" xfId="0" applyFont="1" applyBorder="1" applyAlignment="1">
      <alignment horizontal="left" vertical="center" wrapText="1"/>
    </xf>
    <xf numFmtId="0" fontId="4" fillId="0" borderId="2" xfId="0" applyFont="1" applyBorder="1" applyAlignment="1" applyProtection="1">
      <alignment horizontal="left" vertical="top" wrapText="1"/>
      <protection locked="0"/>
    </xf>
    <xf numFmtId="0" fontId="4" fillId="0" borderId="3" xfId="0" applyFont="1" applyBorder="1" applyAlignment="1" applyProtection="1">
      <alignment horizontal="left" vertical="top" wrapText="1"/>
      <protection locked="0"/>
    </xf>
    <xf numFmtId="0" fontId="4" fillId="0" borderId="4" xfId="0" applyFont="1" applyBorder="1" applyAlignment="1" applyProtection="1">
      <alignment horizontal="left" vertical="top" wrapText="1"/>
      <protection locked="0"/>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4" fillId="0" borderId="17" xfId="0" applyFont="1" applyBorder="1" applyAlignment="1">
      <alignment horizontal="left" vertical="center" wrapText="1"/>
    </xf>
    <xf numFmtId="0" fontId="4" fillId="0" borderId="64" xfId="0" applyFont="1" applyBorder="1" applyAlignment="1">
      <alignment horizontal="left" vertical="center" wrapText="1"/>
    </xf>
    <xf numFmtId="0" fontId="4" fillId="0" borderId="20" xfId="0" applyFont="1" applyBorder="1" applyAlignment="1">
      <alignment horizontal="left" vertical="center" wrapText="1"/>
    </xf>
    <xf numFmtId="0" fontId="4" fillId="0" borderId="11" xfId="0" applyFont="1" applyBorder="1" applyAlignment="1">
      <alignment horizontal="left" vertical="center" wrapText="1"/>
    </xf>
    <xf numFmtId="0" fontId="21" fillId="7" borderId="2" xfId="0" applyFont="1" applyFill="1" applyBorder="1" applyAlignment="1">
      <alignment horizontal="center" vertical="center" wrapText="1"/>
    </xf>
    <xf numFmtId="0" fontId="21" fillId="7" borderId="3" xfId="0" applyFont="1" applyFill="1" applyBorder="1" applyAlignment="1">
      <alignment horizontal="center" vertical="center" wrapText="1"/>
    </xf>
    <xf numFmtId="0" fontId="21" fillId="7" borderId="4"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21" fillId="4" borderId="25" xfId="0" applyFont="1" applyFill="1" applyBorder="1" applyAlignment="1">
      <alignment horizontal="left" vertical="center" wrapText="1"/>
    </xf>
    <xf numFmtId="0" fontId="21" fillId="4" borderId="26" xfId="0" applyFont="1" applyFill="1" applyBorder="1" applyAlignment="1">
      <alignment horizontal="left" vertical="center" wrapText="1"/>
    </xf>
    <xf numFmtId="0" fontId="21" fillId="4" borderId="15" xfId="0" applyFont="1" applyFill="1" applyBorder="1" applyAlignment="1">
      <alignment horizontal="left"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4" xfId="0" applyFont="1" applyBorder="1" applyAlignment="1">
      <alignment horizontal="center" vertical="center" wrapText="1"/>
    </xf>
    <xf numFmtId="0" fontId="4" fillId="0" borderId="45" xfId="0" applyFont="1" applyBorder="1" applyAlignment="1">
      <alignment horizontal="left" vertical="center" wrapText="1"/>
    </xf>
    <xf numFmtId="0" fontId="4" fillId="0" borderId="46" xfId="0" applyFont="1" applyBorder="1" applyAlignment="1">
      <alignment horizontal="left" vertical="center" wrapText="1"/>
    </xf>
    <xf numFmtId="0" fontId="4" fillId="0" borderId="32" xfId="0" applyFont="1" applyBorder="1" applyAlignment="1">
      <alignment horizontal="left" vertical="center" wrapText="1"/>
    </xf>
    <xf numFmtId="0" fontId="4" fillId="0" borderId="33" xfId="0" applyFont="1" applyBorder="1" applyAlignment="1">
      <alignment horizontal="left" vertical="center" wrapText="1"/>
    </xf>
    <xf numFmtId="0" fontId="3" fillId="7" borderId="2"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23" fillId="7" borderId="2" xfId="0" applyFont="1" applyFill="1" applyBorder="1" applyAlignment="1">
      <alignment horizontal="center" vertical="center" wrapText="1"/>
    </xf>
    <xf numFmtId="0" fontId="23" fillId="7" borderId="3"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8" borderId="45"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4" fillId="8" borderId="54" xfId="0" applyFont="1" applyFill="1" applyBorder="1" applyAlignment="1">
      <alignment horizontal="center" vertical="center" wrapText="1"/>
    </xf>
    <xf numFmtId="0" fontId="4" fillId="0" borderId="14" xfId="0" applyFont="1" applyBorder="1" applyAlignment="1">
      <alignment horizontal="left" vertical="center" wrapText="1"/>
    </xf>
    <xf numFmtId="0" fontId="4" fillId="0" borderId="9" xfId="0" applyFont="1" applyBorder="1" applyAlignment="1">
      <alignment horizontal="left" vertical="center" wrapText="1"/>
    </xf>
    <xf numFmtId="0" fontId="4" fillId="0" borderId="13" xfId="0" applyFont="1" applyBorder="1" applyAlignment="1">
      <alignment horizontal="left" vertical="center" wrapText="1"/>
    </xf>
    <xf numFmtId="0" fontId="1" fillId="0" borderId="35" xfId="0" applyFont="1" applyBorder="1" applyAlignment="1">
      <alignment horizontal="center" vertical="center"/>
    </xf>
    <xf numFmtId="0" fontId="1" fillId="0" borderId="36" xfId="0" applyFont="1" applyBorder="1" applyAlignment="1">
      <alignment horizontal="center" vertical="center"/>
    </xf>
    <xf numFmtId="0" fontId="1" fillId="0" borderId="37" xfId="0" applyFont="1" applyBorder="1" applyAlignment="1">
      <alignment horizontal="center" vertical="center"/>
    </xf>
    <xf numFmtId="0" fontId="1" fillId="0" borderId="0" xfId="0" applyFont="1" applyAlignment="1">
      <alignment horizontal="center" vertical="center"/>
    </xf>
    <xf numFmtId="0" fontId="4" fillId="0" borderId="67" xfId="0" applyFont="1" applyBorder="1" applyAlignment="1">
      <alignment horizontal="center" vertical="center" wrapText="1"/>
    </xf>
    <xf numFmtId="0" fontId="4" fillId="0" borderId="68" xfId="0" applyFont="1" applyBorder="1" applyAlignment="1">
      <alignment horizontal="center" vertical="center" wrapText="1"/>
    </xf>
    <xf numFmtId="0" fontId="4" fillId="0" borderId="69"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4" borderId="40" xfId="0" applyFont="1" applyFill="1" applyBorder="1" applyAlignment="1">
      <alignment horizontal="center" vertical="center" wrapText="1"/>
    </xf>
    <xf numFmtId="0" fontId="3" fillId="4" borderId="41" xfId="0" applyFont="1" applyFill="1" applyBorder="1" applyAlignment="1">
      <alignment horizontal="center" vertical="center" wrapText="1"/>
    </xf>
    <xf numFmtId="0" fontId="23" fillId="7" borderId="60" xfId="0" applyFont="1" applyFill="1" applyBorder="1" applyAlignment="1">
      <alignment horizontal="center" vertical="center" wrapText="1"/>
    </xf>
    <xf numFmtId="0" fontId="23" fillId="7" borderId="5" xfId="0" applyFont="1" applyFill="1" applyBorder="1" applyAlignment="1">
      <alignment horizontal="center" vertical="center" wrapText="1"/>
    </xf>
    <xf numFmtId="0" fontId="23" fillId="7" borderId="61" xfId="0" applyFont="1" applyFill="1" applyBorder="1" applyAlignment="1">
      <alignment horizontal="center" vertical="center" wrapText="1"/>
    </xf>
    <xf numFmtId="0" fontId="1" fillId="0" borderId="43" xfId="0" applyFont="1" applyBorder="1" applyAlignment="1">
      <alignment horizontal="center" vertical="center"/>
    </xf>
    <xf numFmtId="0" fontId="32" fillId="9" borderId="40" xfId="0" applyFont="1" applyFill="1" applyBorder="1" applyAlignment="1">
      <alignment horizontal="center" vertical="center" wrapText="1"/>
    </xf>
    <xf numFmtId="0" fontId="32" fillId="9" borderId="41" xfId="0" applyFont="1" applyFill="1" applyBorder="1" applyAlignment="1">
      <alignment horizontal="center" vertical="center" wrapText="1"/>
    </xf>
    <xf numFmtId="0" fontId="1" fillId="0" borderId="35" xfId="0" applyFont="1" applyBorder="1" applyAlignment="1" applyProtection="1">
      <alignment horizontal="center" vertical="center"/>
      <protection locked="0"/>
    </xf>
    <xf numFmtId="0" fontId="1" fillId="0" borderId="43" xfId="0" applyFont="1" applyBorder="1" applyAlignment="1" applyProtection="1">
      <alignment horizontal="center" vertical="center"/>
      <protection locked="0"/>
    </xf>
    <xf numFmtId="0" fontId="23" fillId="7"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1" fillId="0" borderId="26" xfId="0" applyFont="1" applyBorder="1" applyAlignment="1">
      <alignment horizontal="center" vertical="center"/>
    </xf>
    <xf numFmtId="0" fontId="4" fillId="8" borderId="56" xfId="0" applyFont="1" applyFill="1" applyBorder="1" applyAlignment="1">
      <alignment horizontal="left" vertical="center"/>
    </xf>
    <xf numFmtId="0" fontId="4" fillId="8" borderId="39" xfId="0" applyFont="1" applyFill="1" applyBorder="1" applyAlignment="1">
      <alignment horizontal="left" vertical="center"/>
    </xf>
    <xf numFmtId="0" fontId="4" fillId="8" borderId="35" xfId="0" applyFont="1" applyFill="1" applyBorder="1" applyAlignment="1">
      <alignment horizontal="left" vertical="center"/>
    </xf>
    <xf numFmtId="0" fontId="4" fillId="8" borderId="37" xfId="0" applyFont="1" applyFill="1" applyBorder="1" applyAlignment="1">
      <alignment horizontal="left" vertical="center"/>
    </xf>
    <xf numFmtId="0" fontId="31" fillId="0" borderId="11" xfId="0" applyFont="1" applyBorder="1" applyAlignment="1" applyProtection="1">
      <alignment horizontal="center" vertical="center" wrapText="1"/>
      <protection locked="0"/>
    </xf>
    <xf numFmtId="0" fontId="31" fillId="0" borderId="10" xfId="0" applyFont="1" applyBorder="1" applyAlignment="1" applyProtection="1">
      <alignment horizontal="center" vertical="center" wrapText="1"/>
      <protection locked="0"/>
    </xf>
    <xf numFmtId="0" fontId="31" fillId="0" borderId="12" xfId="0" applyFont="1" applyBorder="1" applyAlignment="1" applyProtection="1">
      <alignment horizontal="center" vertical="center" wrapText="1"/>
      <protection locked="0"/>
    </xf>
    <xf numFmtId="0" fontId="5" fillId="0" borderId="0" xfId="0" applyFont="1" applyAlignment="1">
      <alignment horizontal="center" vertical="center" wrapText="1"/>
    </xf>
    <xf numFmtId="0" fontId="4" fillId="8" borderId="31" xfId="0" applyFont="1" applyFill="1" applyBorder="1" applyAlignment="1">
      <alignment horizontal="left" vertical="center"/>
    </xf>
    <xf numFmtId="0" fontId="4" fillId="8" borderId="30" xfId="0" applyFont="1" applyFill="1" applyBorder="1" applyAlignment="1">
      <alignment horizontal="left" vertical="center"/>
    </xf>
    <xf numFmtId="0" fontId="3" fillId="8" borderId="40" xfId="0" applyFont="1" applyFill="1" applyBorder="1" applyAlignment="1">
      <alignment horizontal="center" vertical="center"/>
    </xf>
    <xf numFmtId="0" fontId="3" fillId="8" borderId="42" xfId="0" applyFont="1" applyFill="1" applyBorder="1" applyAlignment="1">
      <alignment horizontal="center" vertical="center"/>
    </xf>
    <xf numFmtId="0" fontId="27" fillId="0" borderId="40" xfId="0" applyFont="1" applyBorder="1" applyAlignment="1" applyProtection="1">
      <alignment horizontal="left" vertical="top" wrapText="1"/>
      <protection locked="0"/>
    </xf>
    <xf numFmtId="0" fontId="27" fillId="0" borderId="42" xfId="0" applyFont="1" applyBorder="1" applyAlignment="1" applyProtection="1">
      <alignment horizontal="left" vertical="top" wrapText="1"/>
      <protection locked="0"/>
    </xf>
    <xf numFmtId="0" fontId="3" fillId="7" borderId="25" xfId="0" applyFont="1" applyFill="1" applyBorder="1" applyAlignment="1">
      <alignment horizontal="center" vertical="center" wrapText="1"/>
    </xf>
    <xf numFmtId="0" fontId="3" fillId="7" borderId="26" xfId="0" applyFont="1" applyFill="1" applyBorder="1" applyAlignment="1">
      <alignment horizontal="center" vertical="center" wrapText="1"/>
    </xf>
    <xf numFmtId="0" fontId="3" fillId="7" borderId="15" xfId="0" applyFont="1" applyFill="1" applyBorder="1" applyAlignment="1">
      <alignment horizontal="center" vertical="center" wrapText="1"/>
    </xf>
    <xf numFmtId="0" fontId="23" fillId="7" borderId="17" xfId="0" applyFont="1" applyFill="1" applyBorder="1" applyAlignment="1">
      <alignment horizontal="center" vertical="center" wrapText="1"/>
    </xf>
    <xf numFmtId="0" fontId="23" fillId="7" borderId="18" xfId="0" applyFont="1" applyFill="1" applyBorder="1" applyAlignment="1">
      <alignment horizontal="center" vertical="center" wrapText="1"/>
    </xf>
    <xf numFmtId="0" fontId="23" fillId="7" borderId="19" xfId="0" applyFont="1" applyFill="1" applyBorder="1" applyAlignment="1">
      <alignment horizontal="center" vertical="center" wrapText="1"/>
    </xf>
    <xf numFmtId="0" fontId="4" fillId="0" borderId="23" xfId="0" applyFont="1" applyBorder="1" applyAlignment="1" applyProtection="1">
      <alignment horizontal="left" vertical="center" wrapText="1"/>
      <protection locked="0"/>
    </xf>
    <xf numFmtId="0" fontId="4" fillId="0" borderId="24" xfId="0" applyFont="1" applyBorder="1" applyAlignment="1" applyProtection="1">
      <alignment horizontal="left" vertical="center" wrapText="1"/>
      <protection locked="0"/>
    </xf>
    <xf numFmtId="0" fontId="4" fillId="8" borderId="17" xfId="0" applyFont="1" applyFill="1" applyBorder="1" applyAlignment="1">
      <alignment horizontal="left" vertical="center" wrapText="1"/>
    </xf>
    <xf numFmtId="0" fontId="4" fillId="8" borderId="18" xfId="0" applyFont="1" applyFill="1" applyBorder="1" applyAlignment="1">
      <alignment horizontal="left" vertical="center" wrapText="1"/>
    </xf>
    <xf numFmtId="0" fontId="4" fillId="8" borderId="20" xfId="0" applyFont="1" applyFill="1" applyBorder="1" applyAlignment="1">
      <alignment horizontal="left" vertical="center" wrapText="1"/>
    </xf>
    <xf numFmtId="0" fontId="4" fillId="8" borderId="9" xfId="0" applyFont="1" applyFill="1" applyBorder="1" applyAlignment="1">
      <alignment horizontal="left" vertical="center" wrapText="1"/>
    </xf>
    <xf numFmtId="0" fontId="4" fillId="8" borderId="22" xfId="0" applyFont="1" applyFill="1" applyBorder="1" applyAlignment="1">
      <alignment horizontal="left" vertical="center" wrapText="1"/>
    </xf>
    <xf numFmtId="0" fontId="4" fillId="8" borderId="23" xfId="0" applyFont="1" applyFill="1" applyBorder="1" applyAlignment="1">
      <alignment horizontal="left" vertical="center" wrapText="1"/>
    </xf>
    <xf numFmtId="0" fontId="1" fillId="6" borderId="20" xfId="0" applyFont="1" applyFill="1" applyBorder="1" applyAlignment="1">
      <alignment vertical="center" wrapText="1"/>
    </xf>
    <xf numFmtId="0" fontId="1" fillId="6" borderId="21" xfId="0" applyFont="1" applyFill="1" applyBorder="1" applyAlignment="1">
      <alignment vertical="center" wrapText="1"/>
    </xf>
    <xf numFmtId="0" fontId="4" fillId="0" borderId="31" xfId="0" applyFont="1" applyBorder="1" applyAlignment="1" applyProtection="1">
      <alignment horizontal="center" vertical="center" wrapText="1"/>
      <protection locked="0"/>
    </xf>
    <xf numFmtId="0" fontId="4" fillId="0" borderId="12" xfId="0" applyFont="1" applyBorder="1" applyAlignment="1" applyProtection="1">
      <alignment horizontal="center" vertical="center" wrapText="1"/>
      <protection locked="0"/>
    </xf>
    <xf numFmtId="49" fontId="4" fillId="0" borderId="11" xfId="0" applyNumberFormat="1" applyFont="1" applyBorder="1" applyAlignment="1" applyProtection="1">
      <alignment horizontal="center" vertical="center" wrapText="1"/>
      <protection locked="0"/>
    </xf>
    <xf numFmtId="49" fontId="4" fillId="0" borderId="30" xfId="0" applyNumberFormat="1" applyFont="1" applyBorder="1" applyAlignment="1" applyProtection="1">
      <alignment horizontal="center" vertical="center" wrapText="1"/>
      <protection locked="0"/>
    </xf>
    <xf numFmtId="0" fontId="4" fillId="0" borderId="11" xfId="0" applyFont="1" applyBorder="1" applyAlignment="1" applyProtection="1">
      <alignment horizontal="center" vertical="center" wrapText="1"/>
      <protection locked="0"/>
    </xf>
    <xf numFmtId="0" fontId="4" fillId="0" borderId="30" xfId="0" applyFont="1" applyBorder="1" applyAlignment="1" applyProtection="1">
      <alignment horizontal="center" vertical="center" wrapText="1"/>
      <protection locked="0"/>
    </xf>
    <xf numFmtId="0" fontId="1" fillId="7" borderId="20" xfId="0" applyFont="1" applyFill="1" applyBorder="1" applyAlignment="1">
      <alignment horizontal="left" vertical="center" wrapText="1"/>
    </xf>
    <xf numFmtId="0" fontId="1" fillId="7" borderId="9" xfId="0" applyFont="1" applyFill="1" applyBorder="1" applyAlignment="1">
      <alignment horizontal="left" vertical="center" wrapText="1"/>
    </xf>
    <xf numFmtId="0" fontId="3" fillId="4" borderId="9" xfId="0" applyFont="1" applyFill="1" applyBorder="1" applyAlignment="1" applyProtection="1">
      <alignment horizontal="center" vertical="top" wrapText="1"/>
      <protection locked="0"/>
    </xf>
    <xf numFmtId="0" fontId="3" fillId="6" borderId="23" xfId="0" applyFont="1" applyFill="1" applyBorder="1" applyAlignment="1" applyProtection="1">
      <alignment horizontal="center" vertical="top" wrapText="1"/>
      <protection locked="0"/>
    </xf>
    <xf numFmtId="0" fontId="3" fillId="6" borderId="24" xfId="0" applyFont="1" applyFill="1" applyBorder="1" applyAlignment="1" applyProtection="1">
      <alignment horizontal="center" vertical="top" wrapText="1"/>
      <protection locked="0"/>
    </xf>
    <xf numFmtId="0" fontId="3" fillId="6" borderId="9" xfId="0" applyFont="1" applyFill="1" applyBorder="1" applyAlignment="1" applyProtection="1">
      <alignment horizontal="center" vertical="top" wrapText="1"/>
      <protection locked="0"/>
    </xf>
    <xf numFmtId="0" fontId="3" fillId="6" borderId="21" xfId="0" applyFont="1" applyFill="1" applyBorder="1" applyAlignment="1" applyProtection="1">
      <alignment horizontal="center" vertical="top" wrapText="1"/>
      <protection locked="0"/>
    </xf>
    <xf numFmtId="0" fontId="1" fillId="6" borderId="22" xfId="0" applyFont="1" applyFill="1" applyBorder="1" applyAlignment="1">
      <alignment vertical="center" wrapText="1"/>
    </xf>
    <xf numFmtId="0" fontId="1" fillId="6" borderId="24" xfId="0" applyFont="1" applyFill="1" applyBorder="1" applyAlignment="1">
      <alignment vertical="center" wrapText="1"/>
    </xf>
    <xf numFmtId="0" fontId="4" fillId="0" borderId="56" xfId="0" applyFont="1" applyBorder="1" applyAlignment="1" applyProtection="1">
      <alignment horizontal="center" vertical="center" wrapText="1"/>
      <protection locked="0"/>
    </xf>
    <xf numFmtId="0" fontId="4" fillId="0" borderId="44" xfId="0" applyFont="1" applyBorder="1" applyAlignment="1" applyProtection="1">
      <alignment horizontal="center" vertical="center" wrapText="1"/>
      <protection locked="0"/>
    </xf>
    <xf numFmtId="49" fontId="4" fillId="0" borderId="38" xfId="0" applyNumberFormat="1" applyFont="1" applyBorder="1" applyAlignment="1" applyProtection="1">
      <alignment horizontal="center" vertical="center" wrapText="1"/>
      <protection locked="0"/>
    </xf>
    <xf numFmtId="49" fontId="4" fillId="0" borderId="39" xfId="0" applyNumberFormat="1" applyFont="1" applyBorder="1" applyAlignment="1" applyProtection="1">
      <alignment horizontal="center" vertical="center" wrapText="1"/>
      <protection locked="0"/>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7" borderId="22" xfId="0" applyFont="1" applyFill="1" applyBorder="1" applyAlignment="1">
      <alignment horizontal="left" vertical="center" wrapText="1"/>
    </xf>
    <xf numFmtId="0" fontId="1" fillId="7" borderId="23" xfId="0" applyFont="1" applyFill="1" applyBorder="1" applyAlignment="1">
      <alignment horizontal="left" vertical="center" wrapText="1"/>
    </xf>
    <xf numFmtId="0" fontId="28" fillId="7" borderId="17" xfId="0" applyFont="1" applyFill="1" applyBorder="1" applyAlignment="1">
      <alignment horizontal="center" vertical="center"/>
    </xf>
    <xf numFmtId="0" fontId="28" fillId="7" borderId="18" xfId="0" applyFont="1" applyFill="1" applyBorder="1" applyAlignment="1">
      <alignment horizontal="center" vertical="center"/>
    </xf>
    <xf numFmtId="0" fontId="28" fillId="7" borderId="19" xfId="0" applyFont="1" applyFill="1" applyBorder="1" applyAlignment="1">
      <alignment horizontal="center" vertical="center"/>
    </xf>
    <xf numFmtId="0" fontId="0" fillId="0" borderId="26" xfId="0" applyBorder="1" applyAlignment="1">
      <alignment horizontal="center"/>
    </xf>
    <xf numFmtId="0" fontId="34" fillId="0" borderId="0" xfId="0" applyFont="1" applyAlignment="1">
      <alignment horizontal="center" vertical="center"/>
    </xf>
    <xf numFmtId="0" fontId="0" fillId="0" borderId="25" xfId="0" applyBorder="1" applyAlignment="1">
      <alignment horizontal="center"/>
    </xf>
    <xf numFmtId="0" fontId="0" fillId="0" borderId="15" xfId="0" applyBorder="1" applyAlignment="1">
      <alignment horizontal="center"/>
    </xf>
    <xf numFmtId="0" fontId="0" fillId="0" borderId="27" xfId="0" applyBorder="1" applyAlignment="1">
      <alignment horizontal="center"/>
    </xf>
    <xf numFmtId="0" fontId="0" fillId="0" borderId="0" xfId="0" applyAlignment="1">
      <alignment horizontal="center"/>
    </xf>
    <xf numFmtId="0" fontId="0" fillId="0" borderId="16" xfId="0" applyBorder="1" applyAlignment="1">
      <alignment horizontal="center"/>
    </xf>
    <xf numFmtId="0" fontId="0" fillId="0" borderId="60" xfId="0" applyBorder="1" applyAlignment="1">
      <alignment horizontal="center"/>
    </xf>
    <xf numFmtId="0" fontId="0" fillId="0" borderId="5" xfId="0" applyBorder="1" applyAlignment="1">
      <alignment horizontal="center"/>
    </xf>
    <xf numFmtId="0" fontId="0" fillId="0" borderId="61" xfId="0" applyBorder="1" applyAlignment="1">
      <alignment horizontal="center"/>
    </xf>
    <xf numFmtId="0" fontId="4" fillId="0" borderId="11" xfId="0" applyFont="1" applyBorder="1" applyAlignment="1">
      <alignment horizontal="center" vertical="center" wrapText="1"/>
    </xf>
    <xf numFmtId="0" fontId="4"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12" xfId="0" applyFont="1" applyBorder="1" applyAlignment="1">
      <alignment horizontal="center" vertical="center" wrapText="1"/>
    </xf>
    <xf numFmtId="0" fontId="1" fillId="4" borderId="20" xfId="0" applyFont="1" applyFill="1" applyBorder="1" applyAlignment="1">
      <alignment vertical="center" wrapText="1"/>
    </xf>
    <xf numFmtId="0" fontId="1" fillId="4" borderId="21" xfId="0" applyFont="1" applyFill="1" applyBorder="1" applyAlignment="1">
      <alignment vertical="center" wrapText="1"/>
    </xf>
    <xf numFmtId="0" fontId="3" fillId="4" borderId="23" xfId="0" applyFont="1" applyFill="1" applyBorder="1" applyAlignment="1" applyProtection="1">
      <alignment horizontal="center" vertical="top" wrapText="1"/>
      <protection locked="0"/>
    </xf>
    <xf numFmtId="0" fontId="1" fillId="4" borderId="22" xfId="0" applyFont="1" applyFill="1" applyBorder="1" applyAlignment="1">
      <alignment vertical="center" wrapText="1"/>
    </xf>
    <xf numFmtId="0" fontId="1" fillId="4" borderId="24" xfId="0" applyFont="1" applyFill="1" applyBorder="1" applyAlignment="1">
      <alignment vertical="center" wrapText="1"/>
    </xf>
    <xf numFmtId="0" fontId="21" fillId="7" borderId="20" xfId="0" applyFont="1" applyFill="1" applyBorder="1" applyAlignment="1">
      <alignment horizontal="left" vertical="center" wrapText="1"/>
    </xf>
    <xf numFmtId="0" fontId="4" fillId="0" borderId="35"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64" xfId="0" applyFont="1" applyBorder="1" applyAlignment="1">
      <alignment horizontal="center" vertical="center" wrapText="1"/>
    </xf>
    <xf numFmtId="0" fontId="4" fillId="0" borderId="37" xfId="0" applyFont="1" applyBorder="1" applyAlignment="1">
      <alignment horizontal="center" vertical="center" wrapText="1"/>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1" fillId="6" borderId="17" xfId="0" applyFont="1" applyFill="1" applyBorder="1" applyAlignment="1">
      <alignment horizontal="left" vertical="center" wrapText="1"/>
    </xf>
    <xf numFmtId="0" fontId="1" fillId="6" borderId="19" xfId="0" applyFont="1" applyFill="1" applyBorder="1" applyAlignment="1">
      <alignment horizontal="left" vertical="center" wrapText="1"/>
    </xf>
    <xf numFmtId="0" fontId="1" fillId="0" borderId="3" xfId="0" applyFont="1" applyBorder="1" applyAlignment="1">
      <alignment horizontal="center" vertical="center" wrapText="1"/>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29" fillId="0" borderId="22" xfId="0" applyFont="1" applyBorder="1" applyAlignment="1" applyProtection="1">
      <alignment horizontal="left" vertical="top" wrapText="1"/>
      <protection locked="0"/>
    </xf>
    <xf numFmtId="0" fontId="29" fillId="0" borderId="23" xfId="0" applyFont="1" applyBorder="1" applyAlignment="1" applyProtection="1">
      <alignment horizontal="left" vertical="top" wrapText="1"/>
      <protection locked="0"/>
    </xf>
    <xf numFmtId="0" fontId="29" fillId="0" borderId="24" xfId="0" applyFont="1" applyBorder="1" applyAlignment="1" applyProtection="1">
      <alignment horizontal="left" vertical="top" wrapText="1"/>
      <protection locked="0"/>
    </xf>
    <xf numFmtId="0" fontId="39" fillId="3" borderId="2" xfId="0" applyFont="1" applyFill="1" applyBorder="1" applyAlignment="1" applyProtection="1">
      <alignment horizontal="left" vertical="center" wrapText="1"/>
      <protection locked="0"/>
    </xf>
    <xf numFmtId="0" fontId="39" fillId="3" borderId="3" xfId="0" applyFont="1" applyFill="1" applyBorder="1" applyAlignment="1" applyProtection="1">
      <alignment horizontal="left" vertical="center" wrapText="1"/>
      <protection locked="0"/>
    </xf>
    <xf numFmtId="0" fontId="39" fillId="3" borderId="4" xfId="0" applyFont="1" applyFill="1" applyBorder="1" applyAlignment="1" applyProtection="1">
      <alignment horizontal="left" vertical="center" wrapText="1"/>
      <protection locked="0"/>
    </xf>
    <xf numFmtId="0" fontId="29" fillId="0" borderId="58" xfId="0" applyFont="1" applyBorder="1" applyAlignment="1">
      <alignment vertical="center" wrapText="1"/>
    </xf>
    <xf numFmtId="0" fontId="29" fillId="0" borderId="46" xfId="0" applyFont="1" applyBorder="1" applyAlignment="1">
      <alignment vertical="center" wrapText="1"/>
    </xf>
    <xf numFmtId="0" fontId="21" fillId="8" borderId="17" xfId="0" applyFont="1" applyFill="1" applyBorder="1" applyAlignment="1">
      <alignment horizontal="left" vertical="center" wrapText="1"/>
    </xf>
    <xf numFmtId="0" fontId="1" fillId="8" borderId="18" xfId="0" applyFont="1" applyFill="1" applyBorder="1" applyAlignment="1">
      <alignment horizontal="left" vertical="center" wrapText="1"/>
    </xf>
    <xf numFmtId="0" fontId="1" fillId="8" borderId="19" xfId="0" applyFont="1" applyFill="1" applyBorder="1" applyAlignment="1">
      <alignment horizontal="left" vertical="center" wrapText="1"/>
    </xf>
    <xf numFmtId="0" fontId="5" fillId="7" borderId="2"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1" fillId="4" borderId="17" xfId="0" applyFont="1" applyFill="1" applyBorder="1" applyAlignment="1">
      <alignment horizontal="left" vertical="center" wrapText="1"/>
    </xf>
    <xf numFmtId="0" fontId="1" fillId="4" borderId="19" xfId="0" applyFont="1" applyFill="1" applyBorder="1" applyAlignment="1">
      <alignment horizontal="left" vertical="center" wrapText="1"/>
    </xf>
    <xf numFmtId="0" fontId="21" fillId="7" borderId="17" xfId="0" applyFont="1" applyFill="1" applyBorder="1" applyAlignment="1">
      <alignment horizontal="center" vertical="center" wrapText="1"/>
    </xf>
    <xf numFmtId="0" fontId="21" fillId="7" borderId="18" xfId="0" applyFont="1" applyFill="1" applyBorder="1" applyAlignment="1">
      <alignment horizontal="center" vertical="center" wrapText="1"/>
    </xf>
    <xf numFmtId="0" fontId="21" fillId="7" borderId="19" xfId="0" applyFont="1" applyFill="1" applyBorder="1" applyAlignment="1">
      <alignment horizontal="center" vertical="center" wrapText="1"/>
    </xf>
    <xf numFmtId="0" fontId="21" fillId="4" borderId="20" xfId="0" applyFont="1" applyFill="1" applyBorder="1" applyAlignment="1">
      <alignment horizontal="center" vertical="top" wrapText="1"/>
    </xf>
    <xf numFmtId="0" fontId="21" fillId="4" borderId="9" xfId="0" applyFont="1" applyFill="1" applyBorder="1" applyAlignment="1">
      <alignment horizontal="center" vertical="top" wrapText="1"/>
    </xf>
    <xf numFmtId="0" fontId="21" fillId="4" borderId="21" xfId="0" applyFont="1" applyFill="1" applyBorder="1" applyAlignment="1">
      <alignment horizontal="center" vertical="top" wrapText="1"/>
    </xf>
    <xf numFmtId="0" fontId="1" fillId="4" borderId="22" xfId="0" applyFont="1" applyFill="1" applyBorder="1" applyAlignment="1" applyProtection="1">
      <alignment horizontal="center" vertical="center" wrapText="1"/>
      <protection locked="0"/>
    </xf>
    <xf numFmtId="0" fontId="1" fillId="4" borderId="23" xfId="0" applyFont="1" applyFill="1" applyBorder="1" applyAlignment="1" applyProtection="1">
      <alignment horizontal="center" vertical="center" wrapText="1"/>
      <protection locked="0"/>
    </xf>
    <xf numFmtId="0" fontId="1" fillId="4" borderId="24" xfId="0" applyFont="1" applyFill="1" applyBorder="1" applyAlignment="1" applyProtection="1">
      <alignment horizontal="center" vertical="center" wrapText="1"/>
      <protection locked="0"/>
    </xf>
    <xf numFmtId="0" fontId="5" fillId="0" borderId="40" xfId="0" applyFont="1" applyBorder="1" applyAlignment="1">
      <alignment horizontal="center" wrapText="1"/>
    </xf>
    <xf numFmtId="0" fontId="5" fillId="0" borderId="41" xfId="0" applyFont="1" applyBorder="1" applyAlignment="1">
      <alignment horizontal="center" wrapText="1"/>
    </xf>
    <xf numFmtId="0" fontId="31" fillId="7" borderId="41" xfId="0" applyFont="1" applyFill="1" applyBorder="1" applyAlignment="1">
      <alignment horizontal="center" vertical="center" wrapText="1"/>
    </xf>
    <xf numFmtId="0" fontId="31" fillId="7" borderId="55" xfId="0" applyFont="1" applyFill="1" applyBorder="1" applyAlignment="1">
      <alignment horizontal="center" vertical="center" wrapText="1"/>
    </xf>
    <xf numFmtId="0" fontId="29" fillId="0" borderId="12" xfId="0" applyFont="1" applyBorder="1" applyAlignment="1">
      <alignment vertical="center" wrapText="1"/>
    </xf>
    <xf numFmtId="0" fontId="29" fillId="0" borderId="11" xfId="0" applyFont="1" applyBorder="1" applyAlignment="1">
      <alignment vertical="center" wrapText="1"/>
    </xf>
    <xf numFmtId="0" fontId="40" fillId="0" borderId="0" xfId="0" applyFont="1" applyAlignment="1">
      <alignment horizontal="center" vertical="center" wrapText="1"/>
    </xf>
    <xf numFmtId="0" fontId="29" fillId="4" borderId="17" xfId="0" applyFont="1" applyFill="1" applyBorder="1" applyAlignment="1">
      <alignment vertical="center" wrapText="1"/>
    </xf>
    <xf numFmtId="0" fontId="29" fillId="4" borderId="18" xfId="0" applyFont="1" applyFill="1" applyBorder="1" applyAlignment="1">
      <alignment vertical="center" wrapText="1"/>
    </xf>
    <xf numFmtId="0" fontId="29" fillId="0" borderId="8" xfId="0" applyFont="1" applyBorder="1" applyAlignment="1">
      <alignment vertical="center" wrapText="1"/>
    </xf>
    <xf numFmtId="0" fontId="29" fillId="8" borderId="20" xfId="0" applyFont="1" applyFill="1" applyBorder="1" applyAlignment="1">
      <alignment vertical="center" wrapText="1"/>
    </xf>
    <xf numFmtId="0" fontId="29" fillId="8" borderId="9" xfId="0" applyFont="1" applyFill="1" applyBorder="1" applyAlignment="1">
      <alignment vertical="center" wrapText="1"/>
    </xf>
    <xf numFmtId="0" fontId="29" fillId="8" borderId="22" xfId="0" applyFont="1" applyFill="1" applyBorder="1" applyAlignment="1">
      <alignment vertical="center" wrapText="1"/>
    </xf>
    <xf numFmtId="0" fontId="29" fillId="8" borderId="23" xfId="0" applyFont="1" applyFill="1" applyBorder="1" applyAlignment="1">
      <alignment vertical="center" wrapText="1"/>
    </xf>
    <xf numFmtId="0" fontId="4" fillId="0" borderId="0" xfId="0" applyFont="1" applyAlignment="1">
      <alignment horizontal="center" vertical="center" wrapText="1"/>
    </xf>
    <xf numFmtId="0" fontId="21" fillId="7" borderId="49" xfId="0" applyFont="1" applyFill="1" applyBorder="1" applyAlignment="1">
      <alignment horizontal="center" vertical="center" wrapText="1"/>
    </xf>
    <xf numFmtId="0" fontId="21" fillId="7" borderId="42" xfId="0" applyFont="1" applyFill="1" applyBorder="1" applyAlignment="1">
      <alignment horizontal="center" vertical="center" wrapText="1"/>
    </xf>
    <xf numFmtId="0" fontId="29" fillId="8" borderId="20" xfId="0" applyFont="1" applyFill="1" applyBorder="1" applyAlignment="1">
      <alignment horizontal="left" vertical="center"/>
    </xf>
    <xf numFmtId="0" fontId="29" fillId="8" borderId="9" xfId="0" applyFont="1" applyFill="1" applyBorder="1" applyAlignment="1">
      <alignment horizontal="left" vertical="center"/>
    </xf>
    <xf numFmtId="0" fontId="29" fillId="6" borderId="20" xfId="0" applyFont="1" applyFill="1" applyBorder="1" applyAlignment="1">
      <alignment vertical="center" wrapText="1"/>
    </xf>
    <xf numFmtId="0" fontId="29" fillId="6" borderId="9" xfId="0" applyFont="1" applyFill="1" applyBorder="1" applyAlignment="1">
      <alignment vertical="center" wrapText="1"/>
    </xf>
    <xf numFmtId="0" fontId="61" fillId="0" borderId="0" xfId="0" applyFont="1" applyAlignment="1">
      <alignment horizontal="center" vertical="center" wrapText="1"/>
    </xf>
    <xf numFmtId="0" fontId="60" fillId="0" borderId="18" xfId="0" applyFont="1" applyBorder="1" applyAlignment="1">
      <alignment horizontal="center" vertical="center" wrapText="1"/>
    </xf>
    <xf numFmtId="49" fontId="51" fillId="0" borderId="9" xfId="0" applyNumberFormat="1" applyFont="1" applyBorder="1" applyAlignment="1" applyProtection="1">
      <alignment horizontal="center" vertical="center" wrapText="1"/>
      <protection locked="0"/>
    </xf>
    <xf numFmtId="0" fontId="60" fillId="0" borderId="9" xfId="0" applyFont="1" applyBorder="1" applyAlignment="1">
      <alignment horizontal="center" vertical="center" wrapText="1"/>
    </xf>
    <xf numFmtId="49" fontId="60" fillId="0" borderId="23" xfId="0" applyNumberFormat="1" applyFont="1" applyBorder="1" applyAlignment="1" applyProtection="1">
      <alignment horizontal="center" vertical="center" wrapText="1"/>
      <protection locked="0"/>
    </xf>
    <xf numFmtId="0" fontId="62" fillId="6" borderId="66" xfId="0" applyFont="1" applyFill="1" applyBorder="1" applyAlignment="1">
      <alignment horizontal="center" vertical="center"/>
    </xf>
    <xf numFmtId="0" fontId="62" fillId="6" borderId="73" xfId="0" applyFont="1" applyFill="1" applyBorder="1" applyAlignment="1">
      <alignment horizontal="center" vertical="center"/>
    </xf>
    <xf numFmtId="0" fontId="62" fillId="6" borderId="71" xfId="0" applyFont="1" applyFill="1" applyBorder="1" applyAlignment="1">
      <alignment horizontal="center" vertical="center"/>
    </xf>
    <xf numFmtId="0" fontId="60" fillId="0" borderId="17" xfId="0" applyFont="1" applyBorder="1" applyAlignment="1">
      <alignment horizontal="center" vertical="center" wrapText="1"/>
    </xf>
    <xf numFmtId="0" fontId="60" fillId="0" borderId="20" xfId="0" applyFont="1" applyBorder="1" applyAlignment="1">
      <alignment horizontal="center" vertical="center" wrapText="1"/>
    </xf>
    <xf numFmtId="0" fontId="60" fillId="0" borderId="22" xfId="0" applyFont="1" applyBorder="1" applyAlignment="1">
      <alignment horizontal="center" vertical="center" wrapText="1"/>
    </xf>
    <xf numFmtId="0" fontId="60" fillId="0" borderId="23" xfId="0" applyFont="1" applyBorder="1" applyAlignment="1">
      <alignment horizontal="center" vertical="center" wrapText="1"/>
    </xf>
    <xf numFmtId="0" fontId="43" fillId="22" borderId="73" xfId="0" applyFont="1" applyFill="1" applyBorder="1" applyAlignment="1">
      <alignment horizontal="center" vertical="center" wrapText="1"/>
    </xf>
    <xf numFmtId="0" fontId="43" fillId="22" borderId="74" xfId="0" applyFont="1" applyFill="1" applyBorder="1" applyAlignment="1">
      <alignment horizontal="center" vertical="center" wrapText="1"/>
    </xf>
    <xf numFmtId="0" fontId="47" fillId="0" borderId="17" xfId="0" applyFont="1" applyBorder="1" applyAlignment="1">
      <alignment horizontal="center" vertical="center" wrapText="1"/>
    </xf>
    <xf numFmtId="0" fontId="47" fillId="0" borderId="18" xfId="0" applyFont="1" applyBorder="1" applyAlignment="1">
      <alignment horizontal="center" vertical="center" wrapText="1"/>
    </xf>
    <xf numFmtId="0" fontId="47" fillId="0" borderId="20" xfId="0" applyFont="1" applyBorder="1" applyAlignment="1">
      <alignment horizontal="center" vertical="center" wrapText="1"/>
    </xf>
    <xf numFmtId="0" fontId="47" fillId="0" borderId="9" xfId="0" applyFont="1" applyBorder="1" applyAlignment="1">
      <alignment horizontal="center" vertical="center" wrapText="1"/>
    </xf>
    <xf numFmtId="0" fontId="47" fillId="0" borderId="22" xfId="0" applyFont="1" applyBorder="1" applyAlignment="1">
      <alignment horizontal="center" vertical="center" wrapText="1"/>
    </xf>
    <xf numFmtId="0" fontId="47" fillId="0" borderId="23" xfId="0" applyFont="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0" fillId="0" borderId="9" xfId="0" applyBorder="1" applyAlignment="1">
      <alignment horizontal="center"/>
    </xf>
    <xf numFmtId="0" fontId="0" fillId="0" borderId="21"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43" fillId="22" borderId="2" xfId="0" applyFont="1" applyFill="1" applyBorder="1" applyAlignment="1">
      <alignment horizontal="center" vertical="center" wrapText="1"/>
    </xf>
    <xf numFmtId="0" fontId="43" fillId="22" borderId="3" xfId="0" applyFont="1" applyFill="1" applyBorder="1" applyAlignment="1">
      <alignment horizontal="center" vertical="center" wrapText="1"/>
    </xf>
    <xf numFmtId="0" fontId="43" fillId="22" borderId="4" xfId="0" applyFont="1" applyFill="1" applyBorder="1" applyAlignment="1">
      <alignment horizontal="center" vertical="center" wrapText="1"/>
    </xf>
    <xf numFmtId="0" fontId="46" fillId="0" borderId="0" xfId="0" applyFont="1" applyAlignment="1">
      <alignment horizontal="center" vertical="center" wrapText="1"/>
    </xf>
    <xf numFmtId="0" fontId="41" fillId="0" borderId="18" xfId="0" applyFont="1" applyBorder="1" applyAlignment="1">
      <alignment horizontal="left" vertical="center" wrapText="1"/>
    </xf>
    <xf numFmtId="0" fontId="41" fillId="0" borderId="64" xfId="0" applyFont="1" applyBorder="1" applyAlignment="1">
      <alignment horizontal="left" vertical="center" wrapText="1"/>
    </xf>
    <xf numFmtId="0" fontId="41" fillId="0" borderId="9" xfId="0" applyFont="1" applyBorder="1" applyAlignment="1">
      <alignment horizontal="left" vertical="center" wrapText="1" shrinkToFit="1"/>
    </xf>
    <xf numFmtId="0" fontId="41" fillId="0" borderId="11" xfId="0" applyFont="1" applyBorder="1" applyAlignment="1">
      <alignment horizontal="left" vertical="center" wrapText="1" shrinkToFit="1"/>
    </xf>
    <xf numFmtId="0" fontId="41" fillId="0" borderId="9" xfId="0" applyFont="1" applyBorder="1" applyAlignment="1">
      <alignment horizontal="left" vertical="center" wrapText="1"/>
    </xf>
    <xf numFmtId="0" fontId="41" fillId="0" borderId="11" xfId="0" applyFont="1" applyBorder="1" applyAlignment="1">
      <alignment horizontal="left" vertical="center" wrapText="1"/>
    </xf>
    <xf numFmtId="0" fontId="41" fillId="0" borderId="23" xfId="0" applyFont="1" applyBorder="1" applyAlignment="1">
      <alignment horizontal="left" vertical="center" wrapText="1"/>
    </xf>
    <xf numFmtId="0" fontId="41" fillId="0" borderId="38" xfId="0" applyFont="1" applyBorder="1" applyAlignment="1">
      <alignment horizontal="left" vertical="center" wrapText="1"/>
    </xf>
    <xf numFmtId="0" fontId="46" fillId="22" borderId="73" xfId="0" applyFont="1" applyFill="1" applyBorder="1" applyAlignment="1">
      <alignment horizontal="center" vertical="center" wrapText="1"/>
    </xf>
    <xf numFmtId="0" fontId="46" fillId="22" borderId="74" xfId="0" applyFont="1" applyFill="1" applyBorder="1" applyAlignment="1">
      <alignment horizontal="center" vertical="center" wrapText="1"/>
    </xf>
    <xf numFmtId="0" fontId="62" fillId="4" borderId="25" xfId="0" applyFont="1" applyFill="1" applyBorder="1" applyAlignment="1">
      <alignment horizontal="center" vertical="center"/>
    </xf>
    <xf numFmtId="0" fontId="62" fillId="4" borderId="26" xfId="0" applyFont="1" applyFill="1" applyBorder="1" applyAlignment="1">
      <alignment horizontal="center" vertical="center"/>
    </xf>
    <xf numFmtId="0" fontId="62" fillId="4" borderId="15" xfId="0" applyFont="1" applyFill="1" applyBorder="1" applyAlignment="1">
      <alignment horizontal="center" vertical="center"/>
    </xf>
  </cellXfs>
  <cellStyles count="2">
    <cellStyle name="Normal" xfId="0" builtinId="0"/>
    <cellStyle name="Per cent" xfId="1" builtinId="5"/>
  </cellStyles>
  <dxfs count="59">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FF00"/>
      </font>
      <fill>
        <patternFill>
          <bgColor rgb="FFFF0000"/>
        </patternFill>
      </fill>
    </dxf>
    <dxf>
      <fill>
        <patternFill>
          <bgColor rgb="FFFFFF00"/>
        </patternFill>
      </fill>
    </dxf>
    <dxf>
      <fill>
        <patternFill>
          <bgColor rgb="FF92D050"/>
        </patternFill>
      </fill>
    </dxf>
    <dxf>
      <fill>
        <patternFill>
          <bgColor theme="6" tint="0.59996337778862885"/>
        </patternFill>
      </fill>
    </dxf>
    <dxf>
      <fill>
        <patternFill>
          <bgColor rgb="FFFF00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C00000"/>
      </font>
      <fill>
        <patternFill>
          <bgColor rgb="FFFFFF00"/>
        </patternFill>
      </fill>
    </dxf>
    <dxf>
      <font>
        <color theme="1"/>
      </font>
      <fill>
        <patternFill>
          <bgColor theme="6" tint="0.39994506668294322"/>
        </patternFill>
      </fill>
    </dxf>
    <dxf>
      <font>
        <b val="0"/>
        <i val="0"/>
        <strike val="0"/>
        <condense val="0"/>
        <extend val="0"/>
        <outline val="0"/>
        <shadow val="0"/>
        <u val="none"/>
        <vertAlign val="baseline"/>
        <sz val="11"/>
        <color auto="1"/>
        <name val="Arial"/>
        <family val="2"/>
        <scheme val="none"/>
      </font>
      <numFmt numFmtId="30" formatCode="@"/>
      <fill>
        <patternFill patternType="solid">
          <fgColor indexed="64"/>
          <bgColor theme="4" tint="0.79998168889431442"/>
        </patternFill>
      </fill>
      <alignment horizontal="general" vertical="center" textRotation="0" wrapText="1" indent="0" justifyLastLine="0" shrinkToFit="0" readingOrder="0"/>
      <border diagonalUp="0" diagonalDown="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4" tint="0.79998168889431442"/>
        </patternFill>
      </fill>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theme="4"/>
          <bgColor theme="4"/>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auto="1"/>
        <name val="Arial"/>
        <family val="2"/>
        <scheme val="none"/>
      </font>
      <numFmt numFmtId="30" formatCode="@"/>
      <fill>
        <patternFill patternType="solid">
          <fgColor indexed="64"/>
          <bgColor theme="7" tint="0.79998168889431442"/>
        </patternFill>
      </fill>
      <alignment horizontal="general" vertical="center" textRotation="0" wrapText="1" indent="0" justifyLastLine="0" shrinkToFit="0" readingOrder="0"/>
      <border diagonalUp="0" diagonalDown="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7" tint="0.79998168889431442"/>
        </patternFill>
      </fill>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theme="4"/>
          <bgColor theme="7" tint="0.79998168889431442"/>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auto="1"/>
        <name val="Arial"/>
        <family val="2"/>
        <scheme val="none"/>
      </font>
      <numFmt numFmtId="30" formatCode="@"/>
      <fill>
        <patternFill patternType="solid">
          <fgColor indexed="64"/>
          <bgColor theme="5" tint="0.79998168889431442"/>
        </patternFill>
      </fill>
      <alignment horizontal="general" vertical="center" textRotation="0" wrapText="1" indent="0" justifyLastLine="0" shrinkToFit="0" readingOrder="0"/>
      <border diagonalUp="0" diagonalDown="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5" tint="0.79998168889431442"/>
        </patternFill>
      </fill>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theme="4"/>
          <bgColor theme="5" tint="0.79998168889431442"/>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auto="1"/>
        <name val="Arial"/>
        <family val="2"/>
        <scheme val="none"/>
      </font>
      <numFmt numFmtId="30" formatCode="@"/>
      <fill>
        <patternFill patternType="solid">
          <fgColor indexed="64"/>
          <bgColor theme="9" tint="0.79998168889431442"/>
        </patternFill>
      </fill>
      <alignment horizontal="general" vertical="center" textRotation="0" wrapText="1" indent="0" justifyLastLine="0" shrinkToFit="0" readingOrder="0"/>
      <border diagonalUp="0" diagonalDown="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9" tint="0.79998168889431442"/>
        </patternFill>
      </fill>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theme="4"/>
          <bgColor theme="9" tint="0.79998168889431442"/>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auto="1"/>
        <name val="Arial"/>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0" formatCode="General"/>
      <fill>
        <patternFill patternType="none">
          <fgColor indexed="64"/>
          <bgColor auto="1"/>
        </patternFill>
      </fill>
      <alignment horizontal="left" vertical="center" textRotation="0" wrapText="0" indent="0" justifyLastLine="0" shrinkToFit="0" readingOrder="0"/>
      <protection locked="1" hidden="0"/>
    </dxf>
    <dxf>
      <border>
        <bottom style="thin">
          <color indexed="64"/>
        </bottom>
      </border>
    </dxf>
    <dxf>
      <font>
        <b val="0"/>
        <i val="0"/>
        <strike val="0"/>
        <condense val="0"/>
        <extend val="0"/>
        <outline val="0"/>
        <shadow val="0"/>
        <u val="none"/>
        <vertAlign val="baseline"/>
        <sz val="11"/>
        <color auto="1"/>
        <name val="Arial"/>
        <family val="2"/>
        <scheme val="none"/>
      </font>
      <numFmt numFmtId="0" formatCode="General"/>
      <fill>
        <patternFill patternType="solid">
          <fgColor indexed="64"/>
          <bgColor rgb="FFD5EAFF"/>
        </patternFill>
      </fill>
      <alignment horizontal="center" vertical="center" textRotation="0" wrapText="0" indent="0" justifyLastLine="0" shrinkToFit="0" readingOrder="0"/>
      <border diagonalUp="0" diagonalDown="0">
        <left style="thin">
          <color indexed="64"/>
        </left>
        <right style="thin">
          <color indexed="64"/>
        </right>
        <top/>
        <bottom/>
      </border>
      <protection locked="1" hidden="0"/>
    </dxf>
  </dxfs>
  <tableStyles count="0" defaultTableStyle="TableStyleMedium2" defaultPivotStyle="PivotStyleLight16"/>
  <colors>
    <mruColors>
      <color rgb="FF1D18EE"/>
      <color rgb="FFFFFF99"/>
      <color rgb="FF120EBE"/>
      <color rgb="FFCCCC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microsoft.com/office/2017/06/relationships/rdRichValue" Target="richData/rdrichvalue.xml"/><Relationship Id="rId10" Type="http://schemas.openxmlformats.org/officeDocument/2006/relationships/externalLink" Target="externalLinks/externalLink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microsoft.com/office/2022/10/relationships/richValueRel" Target="richData/richValueRel.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esterncape-my.sharepoint.com/personal/grant_abrahams_westerncape_gov_za/Documents/QMS/2025%20QMS/2025%20E1&amp;A6%20TEMPLATES/PL1-PL4%20templates_20250725/CA%202%20of%202020/PL3_QMS_Annexures%20C1_C2_C3_E3_20250810.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westerncape-my.sharepoint.com/personal/grant_abrahams_westerncape_gov_za/Documents/QMS/2025%20QMS/2025%20E1&amp;A6%20TEMPLATES/PL1-PL4%20templates_20250725/CA%202%20of%202020/Updated%20QMS%20Toolkit%20for%20schools%2006-04-2021/WorkPlans/PL3_QMS%20Appraisal.xlsx?191E64AA" TargetMode="External"/><Relationship Id="rId1" Type="http://schemas.openxmlformats.org/officeDocument/2006/relationships/externalLinkPath" Target="file:///\\191E64AA\PL3_QMS%20Appraisal.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file:///C:\personal\grant_abrahams_westerncape_gov_za\Documents\2021\2021%20IQMS\2021%20IQMS%20Scores\Cape%20Winelands%202021%20IQMS\5.%202021%20QA%207%20docs%20per%20circuit_electronic%20and%20signed%20PDF%20docs\CIRCUIT%201%20electronic%20and%20PDF%20QA7%20docs\MONTAGU%20HS_%202021%20IQMS%20(QA5-QA7)_20211011.xls?7EE1B996" TargetMode="External"/><Relationship Id="rId1" Type="http://schemas.openxmlformats.org/officeDocument/2006/relationships/externalLinkPath" Target="file:///\\7EE1B996\MONTAGU%20HS_%202021%20IQMS%20(QA5-QA7)_2021101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westerncape-my.sharepoint.com/Users/mashaba.s/Desktop/Updated%20QMS%20Toolkit%20for%20schools%2006-04-2021/WorkPlans/PL3_QMS%20Appraisal.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file:///C:\personal\grant_abrahams_westerncape_gov_za\Documents\2022\2022%20QMS\QMS%20Training%20&amp;%20Resource%20Folder\3.%20Work%20Plans%20&amp;%20Appraisal%20Instruments\PL4_Work%20Plan_Appr%20Instr_Calc\Updated%20QMS%20Toolkit%20for%20schools%2006-04-2021\WorkPlans\PL3_QMS%20Appraisal.xlsx?4F820066" TargetMode="External"/><Relationship Id="rId1" Type="http://schemas.openxmlformats.org/officeDocument/2006/relationships/externalLinkPath" Target="file:///\\4F820066\PL3_QMS%20Appraisal.xlsx"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https://westerncape-my.sharepoint.com/Users/51257149/AppData/Local/Temp/Temp1_OneDrive_2021-05-10.zip/QMS%20School%20Training%20Toolkit%20Individual%20Files/Appraisal%20Instruments/QMS%20Appraisals%20Instrum%20(Excel%20ver)/PL4_QMS%20Appraisal_W%20Plan.xlsx?6DEE4C7B" TargetMode="External"/><Relationship Id="rId1" Type="http://schemas.openxmlformats.org/officeDocument/2006/relationships/externalLinkPath" Target="file:///\\6DEE4C7B\PL4_QMS%20Appraisal_W%20Plan.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personal\grant_abrahams_westerncape_gov_za\Documents\2022\2022%20QMS\QMS%20Training%20&amp;%20Resource%20Folder\3.%20Work%20Plans%20&amp;%20Appraisal%20Instruments\PL4_Work%20Plan_Appr%20Instr_Calc\PL4_QMS_%20Annexures%20D1_D2_D3_E3_2022.xlsx" TargetMode="External"/></Relationships>
</file>

<file path=xl/externalLinks/_rels/externalLink8.xml.rels><?xml version="1.0" encoding="UTF-8" standalone="yes"?>
<Relationships xmlns="http://schemas.openxmlformats.org/package/2006/relationships"><Relationship Id="rId2" Type="http://schemas.microsoft.com/office/2019/04/relationships/externalLinkLongPath" Target="https://westerncape-my.sharepoint.com/personal/grant_abrahams_westerncape_gov_za/Documents/2022/2022%20QMS/QMS%20Training%20&amp;%20Resource%20Folder/3.%20Work%20Plans%20&amp;%20Appraisal%20Instruments/PL4_Work%20Plan_Appr%20Instr_Calc/Annexures%20D1_D2_D3_E3.xlsx?4B08AA84" TargetMode="External"/><Relationship Id="rId1" Type="http://schemas.openxmlformats.org/officeDocument/2006/relationships/externalLinkPath" Target="file:///\\4B08AA84\Annexures%20D1_D2_D3_E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westerncape-my.sharepoint.com/personal/kaydy_cheng_westerncape_gov_za/Documents/Documents/QMS%20CA%202%20of%202020/NEW%20TEMPLATES/PL4_QMS_%20Annexures%20D1_D2_D3_E3_202508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Instructions"/>
      <sheetName val="Appr Instr. DP (C2)"/>
      <sheetName val="Work Plan (C1)"/>
      <sheetName val="Comp Score (C3)"/>
      <sheetName val="Less Ob Instr (E3)"/>
      <sheetName val="Lists"/>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Appraisal Instrum. DPrincipal"/>
      <sheetName val="Composite Score Sheet"/>
      <sheetName val="WorkPlan"/>
      <sheetName val="Lists"/>
    </sheetNames>
    <sheetDataSet>
      <sheetData sheetId="0" refreshError="1"/>
      <sheetData sheetId="1"/>
      <sheetData sheetId="2" refreshError="1"/>
      <sheetData sheetId="3" refreshError="1"/>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General School Data"/>
      <sheetName val="Staff Data"/>
      <sheetName val="QA5(E1)"/>
      <sheetName val="QA5(E2)"/>
      <sheetName val="QA5(E3)"/>
      <sheetName val="QA5(E4)"/>
      <sheetName val="QA5(E5)"/>
      <sheetName val="QA5(E6)"/>
      <sheetName val="QA5(E7)"/>
      <sheetName val="QA5(E8)"/>
      <sheetName val="QA5(E9)"/>
      <sheetName val="QA5(E10)"/>
      <sheetName val="QA5(E11)"/>
      <sheetName val="QA5(E12)"/>
      <sheetName val="QA5(E13)"/>
      <sheetName val="QA5(E14)"/>
      <sheetName val="QA5(E15)"/>
      <sheetName val="QA5(E16)"/>
      <sheetName val="QA5(E17)"/>
      <sheetName val="QA5(E18)"/>
      <sheetName val="QA5(E19)"/>
      <sheetName val="QA5(E20)"/>
      <sheetName val="QA5(E21)"/>
      <sheetName val="QA5(E22)"/>
      <sheetName val="QA5(E23)"/>
      <sheetName val="QA5(E24)"/>
      <sheetName val="QA5(E25)"/>
      <sheetName val="QA5(E26)"/>
      <sheetName val="QA5(E27)"/>
      <sheetName val="QA5(E28)"/>
      <sheetName val="QA5(E29)"/>
      <sheetName val="QA5(E30)"/>
      <sheetName val="QA5(E31)"/>
      <sheetName val="QA5(E32)"/>
      <sheetName val="QA5(E33)"/>
      <sheetName val="QA5(E34)"/>
      <sheetName val="QA5(E35)"/>
      <sheetName val="QA5(E36)"/>
      <sheetName val="QA5(E37)"/>
      <sheetName val="QA5(E38)"/>
      <sheetName val="QA5(E39)"/>
      <sheetName val="QA5(E40)"/>
      <sheetName val="QA5(E41)"/>
      <sheetName val="QA5(E42)"/>
      <sheetName val="QA5(E43)"/>
      <sheetName val="QA5(E44)"/>
      <sheetName val="QA5(E45)"/>
      <sheetName val="QA5(E46)"/>
      <sheetName val="QA5(E47)"/>
      <sheetName val="QA5(E48)"/>
      <sheetName val="QA5(E49)"/>
      <sheetName val="QA5(E50)"/>
      <sheetName val="QA5(E51)"/>
      <sheetName val="QA5(E52)"/>
      <sheetName val="QA5(E53)"/>
      <sheetName val="QA5(E54)"/>
      <sheetName val="QA5(E55)"/>
      <sheetName val="QA5(E56)"/>
      <sheetName val="QA5(E57)"/>
      <sheetName val="QA5(E58)"/>
      <sheetName val="QA5(E59)"/>
      <sheetName val="QA5(E60)"/>
      <sheetName val="QA7 (P1-P4) "/>
      <sheetName val="Baseline QA7 "/>
      <sheetName val="Sheet1"/>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Appraisal Instrum. DPrincipal"/>
      <sheetName val="Composite Score Sheet"/>
      <sheetName val="WorkPlan"/>
      <sheetName val="Lists"/>
    </sheetNames>
    <sheetDataSet>
      <sheetData sheetId="0" refreshError="1"/>
      <sheetData sheetId="1"/>
      <sheetData sheetId="2" refreshError="1"/>
      <sheetData sheetId="3" refreshError="1"/>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Appraisal Instrum. DPrincipal"/>
      <sheetName val="Composite Score Sheet"/>
      <sheetName val="WorkPlan"/>
      <sheetName val="Lists"/>
    </sheetNames>
    <sheetDataSet>
      <sheetData sheetId="0" refreshError="1"/>
      <sheetData sheetId="1"/>
      <sheetData sheetId="2" refreshError="1"/>
      <sheetData sheetId="3" refreshError="1"/>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Appraisal Instrum. Principal"/>
      <sheetName val="Principal's comp scores"/>
      <sheetName val="WorkPlans"/>
      <sheetName val="Lists"/>
    </sheetNames>
    <sheetDataSet>
      <sheetData sheetId="0" refreshError="1"/>
      <sheetData sheetId="1"/>
      <sheetData sheetId="2" refreshError="1"/>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Work Plan (D1)"/>
      <sheetName val="Appraisal Instr. (D2)"/>
      <sheetName val="Comp. Score (D3)"/>
      <sheetName val="Less Ob Instr (E3)"/>
      <sheetName val="PL4 Teaching Time Calc"/>
      <sheetName val="Lists"/>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Work Plan (D1)"/>
      <sheetName val="Appr. Instr. Principal (D2)"/>
      <sheetName val="Principal's comp scores (D3)"/>
      <sheetName val="Less Ob Instr (E3)"/>
    </sheetNames>
    <sheetDataSet>
      <sheetData sheetId="0"/>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Instructions"/>
      <sheetName val="Appraisal Instr. (D2)"/>
      <sheetName val="Work Plan (D1)"/>
      <sheetName val="Comp. Score (D3)"/>
      <sheetName val="Less Ob Instr (E3)"/>
      <sheetName val="PL4 Teaching Time Calc"/>
      <sheetName val="List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67C21F-A8D0-4639-BDBC-68889E709D45}" name="Table1" displayName="Table1" ref="A1:A2268" totalsRowShown="0" headerRowDxfId="58" dataDxfId="56" headerRowBorderDxfId="57" tableBorderDxfId="55" totalsRowBorderDxfId="54">
  <autoFilter ref="A1:A2268" xr:uid="{CA543714-47F4-4A1D-B3AC-8641160F4923}"/>
  <sortState xmlns:xlrd2="http://schemas.microsoft.com/office/spreadsheetml/2017/richdata2" ref="A2:A142">
    <sortCondition ref="A1:A1930"/>
  </sortState>
  <tableColumns count="1">
    <tableColumn id="1" xr3:uid="{69B651E5-A840-4C59-9523-936890B6D6F6}" name="_x000a_SCHOOL NAME" dataDxfId="5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6DA41B-5B87-432A-84C0-25EDC4917846}" name="Table2" displayName="Table2" ref="C1:C61" totalsRowShown="0" headerRowDxfId="52" dataDxfId="50" headerRowBorderDxfId="51" tableBorderDxfId="49" totalsRowBorderDxfId="48">
  <autoFilter ref="C1:C61" xr:uid="{173C37C3-111B-4A13-B186-299ACEFAABC6}"/>
  <sortState xmlns:xlrd2="http://schemas.microsoft.com/office/spreadsheetml/2017/richdata2" ref="C2:C52">
    <sortCondition ref="C1:C52"/>
  </sortState>
  <tableColumns count="1">
    <tableColumn id="1" xr3:uid="{F6B107BF-2742-4A64-BB43-DCFB4B8D1426}" name="PL4" dataDxfId="4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F894C3-73BD-4574-8465-46ECF9C320D7}" name="Table3" displayName="Table3" ref="D1:D58" totalsRowShown="0" headerRowDxfId="46" dataDxfId="44" headerRowBorderDxfId="45" tableBorderDxfId="43" totalsRowBorderDxfId="42">
  <autoFilter ref="D1:D58" xr:uid="{C1E6FEE5-F0D2-4D33-B75A-9BE46A1CF38D}"/>
  <sortState xmlns:xlrd2="http://schemas.microsoft.com/office/spreadsheetml/2017/richdata2" ref="D2:D48">
    <sortCondition ref="D1:D48"/>
  </sortState>
  <tableColumns count="1">
    <tableColumn id="1" xr3:uid="{EED619E6-5634-46B6-A001-35F680EAD037}" name="PL3" dataDxfId="4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3E2612-E1DE-45EB-94F7-D248231C1647}" name="Table4" displayName="Table4" ref="E1:E67" totalsRowShown="0" headerRowDxfId="40" dataDxfId="38" headerRowBorderDxfId="39" tableBorderDxfId="37" totalsRowBorderDxfId="36">
  <autoFilter ref="E1:E67" xr:uid="{4234DA14-8EFF-4D1A-84ED-E22A1DAA5131}"/>
  <tableColumns count="1">
    <tableColumn id="1" xr3:uid="{A215EFDC-BD4D-4A7B-91CE-2D5E377802C1}" name="PL2" dataDxfId="3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E3563C-9AAE-4168-8821-7BD9BEEB158B}" name="Table5" displayName="Table5" ref="F1:F89" totalsRowShown="0" headerRowDxfId="34" dataDxfId="32" headerRowBorderDxfId="33" tableBorderDxfId="31" totalsRowBorderDxfId="30">
  <autoFilter ref="F1:F89" xr:uid="{D45E85A2-1F3A-45C3-8DD3-6B40CEFF0BFE}"/>
  <tableColumns count="1">
    <tableColumn id="1" xr3:uid="{96D60AEE-2E2C-4D88-9230-D4E2282B9E5D}" name="PL1" dataDxfId="29"/>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7.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1D18EE"/>
    <pageSetUpPr fitToPage="1"/>
  </sheetPr>
  <dimension ref="A1:I44"/>
  <sheetViews>
    <sheetView view="pageBreakPreview" topLeftCell="B1" zoomScale="130" zoomScaleNormal="140" zoomScaleSheetLayoutView="130" workbookViewId="0">
      <selection activeCell="B9" sqref="B9:I9"/>
    </sheetView>
  </sheetViews>
  <sheetFormatPr defaultColWidth="8.77734375" defaultRowHeight="14.4" x14ac:dyDescent="0.3"/>
  <cols>
    <col min="1" max="1" width="7.5546875" customWidth="1"/>
    <col min="2" max="2" width="20.5546875" customWidth="1"/>
    <col min="4" max="4" width="16.44140625" customWidth="1"/>
    <col min="5" max="5" width="12.77734375" customWidth="1"/>
    <col min="7" max="7" width="9.21875" customWidth="1"/>
    <col min="8" max="8" width="25.21875" customWidth="1"/>
    <col min="9" max="9" width="21.77734375" customWidth="1"/>
  </cols>
  <sheetData>
    <row r="1" spans="1:9" ht="21" thickBot="1" x14ac:dyDescent="0.35">
      <c r="A1" s="434" t="s">
        <v>0</v>
      </c>
      <c r="B1" s="435"/>
      <c r="C1" s="435"/>
      <c r="D1" s="435"/>
      <c r="E1" s="435"/>
      <c r="F1" s="435"/>
      <c r="G1" s="435"/>
      <c r="H1" s="435"/>
      <c r="I1" s="436"/>
    </row>
    <row r="2" spans="1:9" ht="20.100000000000001" customHeight="1" thickBot="1" x14ac:dyDescent="0.4">
      <c r="A2" s="122"/>
      <c r="B2" s="123"/>
      <c r="C2" s="123"/>
      <c r="D2" s="123"/>
      <c r="E2" s="123"/>
      <c r="F2" s="123"/>
      <c r="G2" s="123"/>
      <c r="H2" s="123"/>
      <c r="I2" s="124"/>
    </row>
    <row r="3" spans="1:9" s="1" customFormat="1" ht="20.100000000000001" customHeight="1" thickBot="1" x14ac:dyDescent="0.35">
      <c r="A3" s="125">
        <v>1</v>
      </c>
      <c r="B3" s="405" t="s">
        <v>1</v>
      </c>
      <c r="C3" s="406"/>
      <c r="D3" s="406"/>
      <c r="E3" s="406"/>
      <c r="F3" s="406"/>
      <c r="G3" s="406"/>
      <c r="H3" s="406"/>
      <c r="I3" s="407"/>
    </row>
    <row r="4" spans="1:9" x14ac:dyDescent="0.3">
      <c r="A4" s="126">
        <v>1.1000000000000001</v>
      </c>
      <c r="B4" s="432" t="s">
        <v>2</v>
      </c>
      <c r="C4" s="432"/>
      <c r="D4" s="432"/>
      <c r="E4" s="432"/>
      <c r="F4" s="432"/>
      <c r="G4" s="432"/>
      <c r="H4" s="432"/>
      <c r="I4" s="433"/>
    </row>
    <row r="5" spans="1:9" ht="43.05" customHeight="1" thickBot="1" x14ac:dyDescent="0.35">
      <c r="A5" s="126">
        <v>1.2</v>
      </c>
      <c r="B5" s="430" t="s">
        <v>3</v>
      </c>
      <c r="C5" s="430"/>
      <c r="D5" s="430"/>
      <c r="E5" s="430"/>
      <c r="F5" s="430"/>
      <c r="G5" s="430"/>
      <c r="H5" s="430"/>
      <c r="I5" s="431"/>
    </row>
    <row r="6" spans="1:9" ht="20.100000000000001" customHeight="1" thickBot="1" x14ac:dyDescent="0.35">
      <c r="A6" s="127">
        <v>2</v>
      </c>
      <c r="B6" s="437" t="s">
        <v>4</v>
      </c>
      <c r="C6" s="438"/>
      <c r="D6" s="438"/>
      <c r="E6" s="438"/>
      <c r="F6" s="438"/>
      <c r="G6" s="438"/>
      <c r="H6" s="438"/>
      <c r="I6" s="439"/>
    </row>
    <row r="7" spans="1:9" x14ac:dyDescent="0.3">
      <c r="A7" s="126">
        <v>2.1</v>
      </c>
      <c r="B7" s="432" t="s">
        <v>5</v>
      </c>
      <c r="C7" s="432"/>
      <c r="D7" s="432"/>
      <c r="E7" s="432"/>
      <c r="F7" s="432"/>
      <c r="G7" s="432"/>
      <c r="H7" s="432"/>
      <c r="I7" s="433"/>
    </row>
    <row r="8" spans="1:9" x14ac:dyDescent="0.3">
      <c r="A8" s="126">
        <v>2.2000000000000002</v>
      </c>
      <c r="B8" s="432" t="s">
        <v>6</v>
      </c>
      <c r="C8" s="432"/>
      <c r="D8" s="432"/>
      <c r="E8" s="432"/>
      <c r="F8" s="432"/>
      <c r="G8" s="432"/>
      <c r="H8" s="432"/>
      <c r="I8" s="433"/>
    </row>
    <row r="9" spans="1:9" x14ac:dyDescent="0.3">
      <c r="A9" s="126">
        <v>2.2999999999999998</v>
      </c>
      <c r="B9" s="432" t="s">
        <v>7</v>
      </c>
      <c r="C9" s="432"/>
      <c r="D9" s="432"/>
      <c r="E9" s="432"/>
      <c r="F9" s="432"/>
      <c r="G9" s="432"/>
      <c r="H9" s="432"/>
      <c r="I9" s="433"/>
    </row>
    <row r="10" spans="1:9" x14ac:dyDescent="0.3">
      <c r="A10" s="126">
        <v>2.4</v>
      </c>
      <c r="B10" s="432" t="s">
        <v>8</v>
      </c>
      <c r="C10" s="432"/>
      <c r="D10" s="432"/>
      <c r="E10" s="432"/>
      <c r="F10" s="432"/>
      <c r="G10" s="432"/>
      <c r="H10" s="432"/>
      <c r="I10" s="433"/>
    </row>
    <row r="11" spans="1:9" x14ac:dyDescent="0.3">
      <c r="A11" s="126">
        <v>2.5</v>
      </c>
      <c r="B11" s="432" t="s">
        <v>9</v>
      </c>
      <c r="C11" s="432"/>
      <c r="D11" s="432"/>
      <c r="E11" s="432"/>
      <c r="F11" s="432"/>
      <c r="G11" s="432"/>
      <c r="H11" s="432"/>
      <c r="I11" s="433"/>
    </row>
    <row r="12" spans="1:9" x14ac:dyDescent="0.3">
      <c r="A12" s="126">
        <v>2.6</v>
      </c>
      <c r="B12" s="432" t="s">
        <v>10</v>
      </c>
      <c r="C12" s="432"/>
      <c r="D12" s="432"/>
      <c r="E12" s="432"/>
      <c r="F12" s="432"/>
      <c r="G12" s="432"/>
      <c r="H12" s="432"/>
      <c r="I12" s="433"/>
    </row>
    <row r="13" spans="1:9" x14ac:dyDescent="0.3">
      <c r="A13" s="126">
        <v>2.7</v>
      </c>
      <c r="B13" s="432" t="s">
        <v>11</v>
      </c>
      <c r="C13" s="432"/>
      <c r="D13" s="432"/>
      <c r="E13" s="432"/>
      <c r="F13" s="432"/>
      <c r="G13" s="432"/>
      <c r="H13" s="432"/>
      <c r="I13" s="433"/>
    </row>
    <row r="14" spans="1:9" x14ac:dyDescent="0.3">
      <c r="A14" s="128">
        <v>2.8</v>
      </c>
      <c r="B14" s="432" t="s">
        <v>12</v>
      </c>
      <c r="C14" s="432"/>
      <c r="D14" s="432"/>
      <c r="E14" s="432"/>
      <c r="F14" s="432"/>
      <c r="G14" s="432"/>
      <c r="H14" s="432"/>
      <c r="I14" s="433"/>
    </row>
    <row r="15" spans="1:9" x14ac:dyDescent="0.3">
      <c r="A15" s="129"/>
      <c r="B15" s="432" t="s">
        <v>13</v>
      </c>
      <c r="C15" s="432"/>
      <c r="D15" s="432"/>
      <c r="E15" s="432"/>
      <c r="F15" s="432"/>
      <c r="G15" s="432"/>
      <c r="H15" s="432"/>
      <c r="I15" s="433"/>
    </row>
    <row r="16" spans="1:9" x14ac:dyDescent="0.3">
      <c r="A16" s="129"/>
      <c r="B16" s="432" t="s">
        <v>14</v>
      </c>
      <c r="C16" s="432"/>
      <c r="D16" s="432"/>
      <c r="E16" s="432"/>
      <c r="F16" s="432"/>
      <c r="G16" s="432"/>
      <c r="H16" s="432"/>
      <c r="I16" s="433"/>
    </row>
    <row r="17" spans="1:9" x14ac:dyDescent="0.3">
      <c r="A17" s="129"/>
      <c r="B17" s="432" t="s">
        <v>15</v>
      </c>
      <c r="C17" s="432"/>
      <c r="D17" s="432"/>
      <c r="E17" s="432"/>
      <c r="F17" s="432"/>
      <c r="G17" s="432"/>
      <c r="H17" s="432"/>
      <c r="I17" s="433"/>
    </row>
    <row r="18" spans="1:9" x14ac:dyDescent="0.3">
      <c r="A18" s="129"/>
      <c r="B18" s="430" t="s">
        <v>16</v>
      </c>
      <c r="C18" s="430"/>
      <c r="D18" s="430"/>
      <c r="E18" s="430"/>
      <c r="F18" s="430"/>
      <c r="G18" s="430"/>
      <c r="H18" s="430"/>
      <c r="I18" s="431"/>
    </row>
    <row r="19" spans="1:9" x14ac:dyDescent="0.3">
      <c r="A19" s="129"/>
      <c r="B19" s="430" t="s">
        <v>17</v>
      </c>
      <c r="C19" s="430"/>
      <c r="D19" s="430"/>
      <c r="E19" s="430"/>
      <c r="F19" s="430"/>
      <c r="G19" s="430"/>
      <c r="H19" s="430"/>
      <c r="I19" s="431"/>
    </row>
    <row r="20" spans="1:9" ht="20.100000000000001" customHeight="1" thickBot="1" x14ac:dyDescent="0.35">
      <c r="A20" s="129"/>
      <c r="B20" s="430"/>
      <c r="C20" s="430"/>
      <c r="D20" s="430"/>
      <c r="E20" s="430"/>
      <c r="F20" s="430"/>
      <c r="G20" s="430"/>
      <c r="H20" s="430"/>
      <c r="I20" s="431"/>
    </row>
    <row r="21" spans="1:9" ht="15" thickBot="1" x14ac:dyDescent="0.35">
      <c r="A21" s="130">
        <v>3</v>
      </c>
      <c r="B21" s="405" t="s">
        <v>18</v>
      </c>
      <c r="C21" s="406"/>
      <c r="D21" s="406"/>
      <c r="E21" s="406"/>
      <c r="F21" s="406"/>
      <c r="G21" s="406"/>
      <c r="H21" s="406"/>
      <c r="I21" s="407"/>
    </row>
    <row r="22" spans="1:9" ht="15" thickBot="1" x14ac:dyDescent="0.35">
      <c r="A22" s="421" t="s">
        <v>19</v>
      </c>
      <c r="B22" s="422"/>
      <c r="C22" s="422"/>
      <c r="D22" s="422"/>
      <c r="E22" s="422"/>
      <c r="F22" s="422"/>
      <c r="G22" s="422"/>
      <c r="H22" s="422"/>
      <c r="I22" s="423"/>
    </row>
    <row r="23" spans="1:9" ht="15" thickBot="1" x14ac:dyDescent="0.35">
      <c r="A23" s="424" t="s">
        <v>20</v>
      </c>
      <c r="B23" s="425"/>
      <c r="C23" s="425"/>
      <c r="D23" s="425"/>
      <c r="E23" s="425"/>
      <c r="F23" s="425"/>
      <c r="G23" s="425"/>
      <c r="H23" s="425"/>
      <c r="I23" s="426"/>
    </row>
    <row r="24" spans="1:9" ht="15" thickBot="1" x14ac:dyDescent="0.35">
      <c r="A24" s="131"/>
      <c r="B24" s="132" t="s">
        <v>21</v>
      </c>
      <c r="C24" s="427" t="s">
        <v>22</v>
      </c>
      <c r="D24" s="428"/>
      <c r="E24" s="427" t="s">
        <v>23</v>
      </c>
      <c r="F24" s="429"/>
      <c r="G24" s="429"/>
      <c r="H24" s="429"/>
      <c r="I24" s="428"/>
    </row>
    <row r="25" spans="1:9" ht="28.05" customHeight="1" x14ac:dyDescent="0.3">
      <c r="A25" s="440">
        <v>1</v>
      </c>
      <c r="B25" s="442" t="s">
        <v>24</v>
      </c>
      <c r="C25" s="443" t="s">
        <v>25</v>
      </c>
      <c r="D25" s="444"/>
      <c r="E25" s="445" t="s">
        <v>26</v>
      </c>
      <c r="F25" s="446"/>
      <c r="G25" s="446"/>
      <c r="H25" s="446"/>
      <c r="I25" s="447"/>
    </row>
    <row r="26" spans="1:9" ht="44.1" customHeight="1" x14ac:dyDescent="0.3">
      <c r="A26" s="441"/>
      <c r="B26" s="420"/>
      <c r="C26" s="415" t="s">
        <v>27</v>
      </c>
      <c r="D26" s="415"/>
      <c r="E26" s="414" t="s">
        <v>28</v>
      </c>
      <c r="F26" s="415"/>
      <c r="G26" s="415"/>
      <c r="H26" s="415"/>
      <c r="I26" s="416"/>
    </row>
    <row r="27" spans="1:9" ht="25.5" customHeight="1" x14ac:dyDescent="0.3">
      <c r="A27" s="441">
        <v>2</v>
      </c>
      <c r="B27" s="420" t="s">
        <v>29</v>
      </c>
      <c r="C27" s="408" t="s">
        <v>30</v>
      </c>
      <c r="D27" s="409"/>
      <c r="E27" s="414" t="s">
        <v>31</v>
      </c>
      <c r="F27" s="415"/>
      <c r="G27" s="415"/>
      <c r="H27" s="415"/>
      <c r="I27" s="416"/>
    </row>
    <row r="28" spans="1:9" x14ac:dyDescent="0.3">
      <c r="A28" s="441"/>
      <c r="B28" s="420"/>
      <c r="C28" s="408" t="s">
        <v>32</v>
      </c>
      <c r="D28" s="409"/>
      <c r="E28" s="457" t="s">
        <v>33</v>
      </c>
      <c r="F28" s="458"/>
      <c r="G28" s="458"/>
      <c r="H28" s="458"/>
      <c r="I28" s="459"/>
    </row>
    <row r="29" spans="1:9" ht="30.6" customHeight="1" x14ac:dyDescent="0.3">
      <c r="A29" s="441"/>
      <c r="B29" s="420"/>
      <c r="C29" s="408" t="s">
        <v>34</v>
      </c>
      <c r="D29" s="409"/>
      <c r="E29" s="457" t="s">
        <v>35</v>
      </c>
      <c r="F29" s="458"/>
      <c r="G29" s="458"/>
      <c r="H29" s="458"/>
      <c r="I29" s="459"/>
    </row>
    <row r="30" spans="1:9" ht="26.1" customHeight="1" x14ac:dyDescent="0.3">
      <c r="A30" s="463"/>
      <c r="B30" s="412"/>
      <c r="C30" s="464" t="s">
        <v>36</v>
      </c>
      <c r="D30" s="465"/>
      <c r="E30" s="460" t="s">
        <v>37</v>
      </c>
      <c r="F30" s="461"/>
      <c r="G30" s="461"/>
      <c r="H30" s="461"/>
      <c r="I30" s="462"/>
    </row>
    <row r="31" spans="1:9" ht="26.55" customHeight="1" x14ac:dyDescent="0.3">
      <c r="A31" s="441">
        <v>3</v>
      </c>
      <c r="B31" s="420" t="s">
        <v>38</v>
      </c>
      <c r="C31" s="408" t="s">
        <v>39</v>
      </c>
      <c r="D31" s="409"/>
      <c r="E31" s="414" t="s">
        <v>40</v>
      </c>
      <c r="F31" s="415"/>
      <c r="G31" s="415"/>
      <c r="H31" s="415"/>
      <c r="I31" s="416"/>
    </row>
    <row r="32" spans="1:9" ht="28.05" customHeight="1" x14ac:dyDescent="0.3">
      <c r="A32" s="441"/>
      <c r="B32" s="420"/>
      <c r="C32" s="408" t="s">
        <v>41</v>
      </c>
      <c r="D32" s="409"/>
      <c r="E32" s="414" t="s">
        <v>42</v>
      </c>
      <c r="F32" s="415"/>
      <c r="G32" s="415"/>
      <c r="H32" s="415"/>
      <c r="I32" s="416"/>
    </row>
    <row r="33" spans="1:9" ht="25.05" customHeight="1" x14ac:dyDescent="0.3">
      <c r="A33" s="441"/>
      <c r="B33" s="420"/>
      <c r="C33" s="408" t="s">
        <v>43</v>
      </c>
      <c r="D33" s="409"/>
      <c r="E33" s="414" t="s">
        <v>44</v>
      </c>
      <c r="F33" s="415"/>
      <c r="G33" s="415"/>
      <c r="H33" s="415"/>
      <c r="I33" s="416"/>
    </row>
    <row r="34" spans="1:9" ht="24" customHeight="1" x14ac:dyDescent="0.3">
      <c r="A34" s="441">
        <v>4</v>
      </c>
      <c r="B34" s="412" t="s">
        <v>45</v>
      </c>
      <c r="C34" s="408" t="s">
        <v>46</v>
      </c>
      <c r="D34" s="409"/>
      <c r="E34" s="414" t="s">
        <v>47</v>
      </c>
      <c r="F34" s="415"/>
      <c r="G34" s="415"/>
      <c r="H34" s="415"/>
      <c r="I34" s="416"/>
    </row>
    <row r="35" spans="1:9" ht="15.6" customHeight="1" x14ac:dyDescent="0.3">
      <c r="A35" s="441"/>
      <c r="B35" s="413"/>
      <c r="C35" s="408" t="s">
        <v>48</v>
      </c>
      <c r="D35" s="409"/>
      <c r="E35" s="414" t="s">
        <v>49</v>
      </c>
      <c r="F35" s="415"/>
      <c r="G35" s="415"/>
      <c r="H35" s="415"/>
      <c r="I35" s="416"/>
    </row>
    <row r="36" spans="1:9" ht="28.5" customHeight="1" thickBot="1" x14ac:dyDescent="0.35">
      <c r="A36" s="140">
        <v>5</v>
      </c>
      <c r="B36" s="133" t="s">
        <v>50</v>
      </c>
      <c r="C36" s="410" t="s">
        <v>51</v>
      </c>
      <c r="D36" s="411"/>
      <c r="E36" s="417" t="s">
        <v>52</v>
      </c>
      <c r="F36" s="418"/>
      <c r="G36" s="418"/>
      <c r="H36" s="418"/>
      <c r="I36" s="419"/>
    </row>
    <row r="37" spans="1:9" ht="17.25" customHeight="1" x14ac:dyDescent="0.3">
      <c r="A37" s="448" t="s">
        <v>53</v>
      </c>
      <c r="B37" s="449"/>
      <c r="C37" s="449"/>
      <c r="D37" s="449"/>
      <c r="E37" s="449"/>
      <c r="F37" s="449"/>
      <c r="G37" s="449"/>
      <c r="H37" s="449"/>
      <c r="I37" s="450"/>
    </row>
    <row r="38" spans="1:9" ht="19.5" customHeight="1" x14ac:dyDescent="0.3">
      <c r="A38" s="454" t="s">
        <v>54</v>
      </c>
      <c r="B38" s="455"/>
      <c r="C38" s="455"/>
      <c r="D38" s="455"/>
      <c r="E38" s="455"/>
      <c r="F38" s="455"/>
      <c r="G38" s="455"/>
      <c r="H38" s="455"/>
      <c r="I38" s="456"/>
    </row>
    <row r="39" spans="1:9" ht="18" customHeight="1" thickBot="1" x14ac:dyDescent="0.35">
      <c r="A39" s="451" t="s">
        <v>55</v>
      </c>
      <c r="B39" s="452"/>
      <c r="C39" s="452"/>
      <c r="D39" s="452"/>
      <c r="E39" s="452"/>
      <c r="F39" s="452"/>
      <c r="G39" s="452"/>
      <c r="H39" s="452"/>
      <c r="I39" s="453"/>
    </row>
    <row r="40" spans="1:9" s="1" customFormat="1" ht="27" thickBot="1" x14ac:dyDescent="0.35">
      <c r="A40" s="134" t="s">
        <v>56</v>
      </c>
      <c r="B40" s="390" t="s">
        <v>57</v>
      </c>
      <c r="C40" s="391"/>
      <c r="D40" s="391"/>
      <c r="E40" s="391"/>
      <c r="F40" s="391"/>
      <c r="G40" s="392"/>
      <c r="H40" s="120" t="s">
        <v>58</v>
      </c>
      <c r="I40" s="135" t="s">
        <v>59</v>
      </c>
    </row>
    <row r="41" spans="1:9" ht="24" customHeight="1" x14ac:dyDescent="0.3">
      <c r="A41" s="141">
        <v>1</v>
      </c>
      <c r="B41" s="393" t="s">
        <v>60</v>
      </c>
      <c r="C41" s="394"/>
      <c r="D41" s="394"/>
      <c r="E41" s="394"/>
      <c r="F41" s="394"/>
      <c r="G41" s="395"/>
      <c r="H41" s="136" t="s">
        <v>61</v>
      </c>
      <c r="I41" s="137" t="s">
        <v>62</v>
      </c>
    </row>
    <row r="42" spans="1:9" ht="39" customHeight="1" x14ac:dyDescent="0.3">
      <c r="A42" s="142">
        <v>2</v>
      </c>
      <c r="B42" s="396" t="s">
        <v>63</v>
      </c>
      <c r="C42" s="397"/>
      <c r="D42" s="397"/>
      <c r="E42" s="397"/>
      <c r="F42" s="397"/>
      <c r="G42" s="398"/>
      <c r="H42" s="138" t="s">
        <v>64</v>
      </c>
      <c r="I42" s="138" t="s">
        <v>65</v>
      </c>
    </row>
    <row r="43" spans="1:9" ht="22.5" customHeight="1" x14ac:dyDescent="0.3">
      <c r="A43" s="143">
        <v>3</v>
      </c>
      <c r="B43" s="399" t="s">
        <v>66</v>
      </c>
      <c r="C43" s="400"/>
      <c r="D43" s="400"/>
      <c r="E43" s="400"/>
      <c r="F43" s="400"/>
      <c r="G43" s="401"/>
      <c r="H43" s="138" t="s">
        <v>67</v>
      </c>
      <c r="I43" s="138" t="s">
        <v>68</v>
      </c>
    </row>
    <row r="44" spans="1:9" ht="29.25" customHeight="1" thickBot="1" x14ac:dyDescent="0.35">
      <c r="A44" s="144">
        <v>4</v>
      </c>
      <c r="B44" s="402" t="s">
        <v>69</v>
      </c>
      <c r="C44" s="403"/>
      <c r="D44" s="403"/>
      <c r="E44" s="403"/>
      <c r="F44" s="403"/>
      <c r="G44" s="404"/>
      <c r="H44" s="139" t="s">
        <v>70</v>
      </c>
      <c r="I44" s="139" t="s">
        <v>71</v>
      </c>
    </row>
  </sheetData>
  <sheetProtection algorithmName="SHA-512" hashValue="PD/Hw68u/kyUm56781+2XQPRULJUfx3GIvzVeeEoAFnmJq46E4wP6BmRdYemaMF9HDjfpfLF+uf0JR9Ps987wQ==" saltValue="2RqZ9/RxMXKIjrE0NFFwiQ==" spinCount="100000" sheet="1" objects="1" scenarios="1"/>
  <mergeCells count="64">
    <mergeCell ref="A37:I37"/>
    <mergeCell ref="A39:I39"/>
    <mergeCell ref="A38:I38"/>
    <mergeCell ref="E28:I28"/>
    <mergeCell ref="E29:I29"/>
    <mergeCell ref="E30:I30"/>
    <mergeCell ref="A27:A30"/>
    <mergeCell ref="C29:D29"/>
    <mergeCell ref="C30:D30"/>
    <mergeCell ref="C27:D27"/>
    <mergeCell ref="C28:D28"/>
    <mergeCell ref="B27:B30"/>
    <mergeCell ref="E27:I27"/>
    <mergeCell ref="A34:A35"/>
    <mergeCell ref="A31:A33"/>
    <mergeCell ref="C31:D31"/>
    <mergeCell ref="A25:A26"/>
    <mergeCell ref="B25:B26"/>
    <mergeCell ref="C25:D25"/>
    <mergeCell ref="E25:I25"/>
    <mergeCell ref="C26:D26"/>
    <mergeCell ref="E26:I26"/>
    <mergeCell ref="A1:I1"/>
    <mergeCell ref="B3:I3"/>
    <mergeCell ref="B4:I4"/>
    <mergeCell ref="B5:I5"/>
    <mergeCell ref="E34:I34"/>
    <mergeCell ref="C34:D34"/>
    <mergeCell ref="B8:I8"/>
    <mergeCell ref="B9:I9"/>
    <mergeCell ref="B10:I10"/>
    <mergeCell ref="B11:I11"/>
    <mergeCell ref="B12:I12"/>
    <mergeCell ref="B13:I13"/>
    <mergeCell ref="B14:I14"/>
    <mergeCell ref="B15:I15"/>
    <mergeCell ref="B16:I16"/>
    <mergeCell ref="B6:I6"/>
    <mergeCell ref="B20:I20"/>
    <mergeCell ref="B18:I18"/>
    <mergeCell ref="B19:I19"/>
    <mergeCell ref="B7:I7"/>
    <mergeCell ref="B17:I17"/>
    <mergeCell ref="B21:I21"/>
    <mergeCell ref="C35:D35"/>
    <mergeCell ref="C36:D36"/>
    <mergeCell ref="B34:B35"/>
    <mergeCell ref="E35:I35"/>
    <mergeCell ref="E36:I36"/>
    <mergeCell ref="C32:D32"/>
    <mergeCell ref="C33:D33"/>
    <mergeCell ref="B31:B33"/>
    <mergeCell ref="E31:I31"/>
    <mergeCell ref="E32:I32"/>
    <mergeCell ref="E33:I33"/>
    <mergeCell ref="A22:I22"/>
    <mergeCell ref="A23:I23"/>
    <mergeCell ref="C24:D24"/>
    <mergeCell ref="E24:I24"/>
    <mergeCell ref="B40:G40"/>
    <mergeCell ref="B41:G41"/>
    <mergeCell ref="B42:G42"/>
    <mergeCell ref="B43:G43"/>
    <mergeCell ref="B44:G44"/>
  </mergeCells>
  <pageMargins left="0.45" right="0.45" top="0.5" bottom="0.5" header="0.3" footer="0.3"/>
  <pageSetup paperSize="9" scale="71" orientation="portrait" r:id="rId1"/>
  <headerFooter differentOddEven="1" differentFirst="1">
    <oddHeader>&amp;C&amp;G</oddHeader>
    <oddFooter xml:space="preserve">&amp;L&amp;"Arial Narrow,Bold Italic"QMS Appraisal Instrument &amp;C&amp;"Arial Narrow,Bold Italic"&amp;12Guide for Educator Post Level 1&amp;R&amp;"Arial Narrow,Bold Italic"&amp;12&amp;P </oddFooter>
    <evenHeader>&amp;C&amp;"-,Bold"2</evenHeader>
    <evenFooter>&amp;L&amp;"-,Bold Italic"&amp;10Educator Post Level 1&amp;R&amp;"-,Bold Italic"&amp;10QMS  Appraisal Instrument: Guide</evenFooter>
    <firstFooter xml:space="preserve">&amp;L&amp;"-,Bold Italic"&amp;10Educator Post Level 1&amp;R&amp;"-,Bold Italic"&amp;10QMS Appraisal Instrument: Guide </first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02D6B-28A9-4F28-813E-BEC875765712}">
  <sheetPr>
    <tabColor theme="8" tint="-0.249977111117893"/>
    <pageSetUpPr fitToPage="1"/>
  </sheetPr>
  <dimension ref="B1:D22"/>
  <sheetViews>
    <sheetView view="pageBreakPreview" zoomScale="110" zoomScaleNormal="100" zoomScaleSheetLayoutView="110" workbookViewId="0">
      <selection activeCell="B14" sqref="B14:C14"/>
    </sheetView>
  </sheetViews>
  <sheetFormatPr defaultColWidth="9.21875" defaultRowHeight="15" x14ac:dyDescent="0.3"/>
  <cols>
    <col min="1" max="1" width="9.21875" style="274"/>
    <col min="2" max="2" width="4.21875" style="273" bestFit="1" customWidth="1"/>
    <col min="3" max="3" width="93.21875" style="273" bestFit="1" customWidth="1"/>
    <col min="4" max="4" width="50.21875" style="274" customWidth="1"/>
    <col min="5" max="16384" width="9.21875" style="274"/>
  </cols>
  <sheetData>
    <row r="1" spans="2:4" ht="15.6" thickBot="1" x14ac:dyDescent="0.35"/>
    <row r="2" spans="2:4" ht="21" customHeight="1" thickBot="1" x14ac:dyDescent="0.35">
      <c r="B2" s="471" t="s">
        <v>72</v>
      </c>
      <c r="C2" s="472"/>
      <c r="D2" s="473"/>
    </row>
    <row r="3" spans="2:4" ht="15" customHeight="1" thickBot="1" x14ac:dyDescent="0.35">
      <c r="C3" s="275"/>
    </row>
    <row r="4" spans="2:4" ht="21" customHeight="1" thickBot="1" x14ac:dyDescent="0.35">
      <c r="B4" s="479" t="s">
        <v>73</v>
      </c>
      <c r="C4" s="480"/>
      <c r="D4" s="483" t="s">
        <v>74</v>
      </c>
    </row>
    <row r="5" spans="2:4" ht="21" customHeight="1" thickBot="1" x14ac:dyDescent="0.35">
      <c r="B5" s="276"/>
      <c r="C5" s="274"/>
      <c r="D5" s="484"/>
    </row>
    <row r="6" spans="2:4" ht="21" customHeight="1" x14ac:dyDescent="0.3">
      <c r="B6" s="277" t="s">
        <v>75</v>
      </c>
      <c r="C6" s="278" t="s">
        <v>76</v>
      </c>
      <c r="D6" s="484"/>
    </row>
    <row r="7" spans="2:4" ht="21" customHeight="1" x14ac:dyDescent="0.3">
      <c r="B7" s="279" t="s">
        <v>77</v>
      </c>
      <c r="C7" s="280" t="s">
        <v>78</v>
      </c>
      <c r="D7" s="281" t="s">
        <v>79</v>
      </c>
    </row>
    <row r="8" spans="2:4" ht="21" customHeight="1" x14ac:dyDescent="0.3">
      <c r="B8" s="279" t="s">
        <v>80</v>
      </c>
      <c r="C8" s="280" t="s">
        <v>81</v>
      </c>
      <c r="D8" s="281" t="s">
        <v>82</v>
      </c>
    </row>
    <row r="9" spans="2:4" ht="21" customHeight="1" x14ac:dyDescent="0.3">
      <c r="B9" s="279" t="s">
        <v>83</v>
      </c>
      <c r="C9" s="280" t="s">
        <v>84</v>
      </c>
      <c r="D9" s="282" t="s">
        <v>85</v>
      </c>
    </row>
    <row r="10" spans="2:4" ht="21" customHeight="1" thickBot="1" x14ac:dyDescent="0.35">
      <c r="B10" s="283" t="s">
        <v>86</v>
      </c>
      <c r="C10" s="284" t="s">
        <v>87</v>
      </c>
      <c r="D10" s="285"/>
    </row>
    <row r="11" spans="2:4" ht="15" customHeight="1" thickBot="1" x14ac:dyDescent="0.35">
      <c r="C11" s="274"/>
    </row>
    <row r="12" spans="2:4" ht="85.05" customHeight="1" thickBot="1" x14ac:dyDescent="0.35">
      <c r="B12" s="481" t="s">
        <v>88</v>
      </c>
      <c r="C12" s="482"/>
      <c r="D12" s="286" t="s">
        <v>89</v>
      </c>
    </row>
    <row r="13" spans="2:4" ht="15" customHeight="1" thickBot="1" x14ac:dyDescent="0.35">
      <c r="C13" s="274"/>
    </row>
    <row r="14" spans="2:4" ht="51" customHeight="1" thickBot="1" x14ac:dyDescent="0.35">
      <c r="B14" s="469" t="s">
        <v>90</v>
      </c>
      <c r="C14" s="470"/>
      <c r="D14" s="287" t="s">
        <v>91</v>
      </c>
    </row>
    <row r="15" spans="2:4" ht="15" customHeight="1" thickBot="1" x14ac:dyDescent="0.35">
      <c r="C15" s="274"/>
    </row>
    <row r="16" spans="2:4" ht="51" customHeight="1" thickBot="1" x14ac:dyDescent="0.35">
      <c r="B16" s="474" t="s">
        <v>92</v>
      </c>
      <c r="C16" s="475"/>
      <c r="D16" s="288" t="s">
        <v>93</v>
      </c>
    </row>
    <row r="17" spans="2:4" ht="16.2" thickBot="1" x14ac:dyDescent="0.35">
      <c r="B17" s="289"/>
      <c r="C17" s="289"/>
      <c r="D17" s="290"/>
    </row>
    <row r="18" spans="2:4" ht="51" customHeight="1" thickBot="1" x14ac:dyDescent="0.35">
      <c r="B18" s="485" t="s">
        <v>94</v>
      </c>
      <c r="C18" s="486"/>
      <c r="D18" s="291" t="s">
        <v>95</v>
      </c>
    </row>
    <row r="19" spans="2:4" ht="15" customHeight="1" thickBot="1" x14ac:dyDescent="0.35">
      <c r="C19" s="274"/>
    </row>
    <row r="20" spans="2:4" ht="25.35" customHeight="1" thickBot="1" x14ac:dyDescent="0.35">
      <c r="B20" s="476" t="s">
        <v>96</v>
      </c>
      <c r="C20" s="477"/>
      <c r="D20" s="478"/>
    </row>
    <row r="21" spans="2:4" ht="15.6" thickBot="1" x14ac:dyDescent="0.35"/>
    <row r="22" spans="2:4" ht="16.2" thickBot="1" x14ac:dyDescent="0.35">
      <c r="B22" s="466" t="s">
        <v>97</v>
      </c>
      <c r="C22" s="467"/>
      <c r="D22" s="468"/>
    </row>
  </sheetData>
  <sheetProtection algorithmName="SHA-512" hashValue="4ebNbyyU47xAf23uoax/qIkhct3j0Dsqc+OmHO7gu4E7brqDMRBAsvFvQz5RqFg6O4It0mGRqDk0mRZDGZ+9KA==" saltValue="2olU7Av5Vp6Z1B5E4mrG5w==" spinCount="100000" sheet="1" objects="1" scenarios="1"/>
  <mergeCells count="9">
    <mergeCell ref="B22:D22"/>
    <mergeCell ref="B14:C14"/>
    <mergeCell ref="B2:D2"/>
    <mergeCell ref="B16:C16"/>
    <mergeCell ref="B20:D20"/>
    <mergeCell ref="B4:C4"/>
    <mergeCell ref="B12:C12"/>
    <mergeCell ref="D4:D6"/>
    <mergeCell ref="B18:C18"/>
  </mergeCells>
  <pageMargins left="0.7" right="0.7" top="0.75" bottom="0.75" header="0.3" footer="0.3"/>
  <pageSetup scale="82" orientation="landscape" r:id="rId1"/>
  <colBreaks count="1" manualBreakCount="1">
    <brk id="3"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G174"/>
  <sheetViews>
    <sheetView view="pageBreakPreview" topLeftCell="A26" zoomScale="140" zoomScaleNormal="140" zoomScaleSheetLayoutView="140" workbookViewId="0">
      <selection activeCell="D41" sqref="D41"/>
    </sheetView>
  </sheetViews>
  <sheetFormatPr defaultColWidth="9.21875" defaultRowHeight="13.8" x14ac:dyDescent="0.3"/>
  <cols>
    <col min="1" max="1" width="4.77734375" style="48" customWidth="1"/>
    <col min="2" max="2" width="36.21875" style="48" customWidth="1"/>
    <col min="3" max="3" width="30.44140625" style="48" customWidth="1"/>
    <col min="4" max="4" width="24.21875" style="49" customWidth="1"/>
    <col min="5" max="5" width="23.21875" style="49" customWidth="1"/>
    <col min="6" max="16384" width="9.21875" style="48"/>
  </cols>
  <sheetData>
    <row r="1" spans="1:7" ht="18" thickBot="1" x14ac:dyDescent="0.35">
      <c r="A1" s="16"/>
      <c r="B1" s="16"/>
      <c r="C1" s="16"/>
      <c r="D1" s="17"/>
      <c r="E1" s="91" t="s">
        <v>98</v>
      </c>
      <c r="F1" s="16"/>
      <c r="G1" s="16"/>
    </row>
    <row r="2" spans="1:7" ht="18" customHeight="1" x14ac:dyDescent="0.3">
      <c r="A2" s="488" t="s">
        <v>99</v>
      </c>
      <c r="B2" s="488"/>
      <c r="C2" s="488"/>
      <c r="D2" s="488"/>
      <c r="E2" s="488"/>
      <c r="F2" s="16"/>
      <c r="G2" s="16"/>
    </row>
    <row r="3" spans="1:7" ht="18" customHeight="1" x14ac:dyDescent="0.3">
      <c r="A3" s="583" t="s">
        <v>100</v>
      </c>
      <c r="B3" s="584"/>
      <c r="C3" s="584"/>
      <c r="D3" s="584"/>
      <c r="E3" s="585"/>
      <c r="F3" s="16"/>
      <c r="G3" s="16"/>
    </row>
    <row r="4" spans="1:7" ht="17.399999999999999" x14ac:dyDescent="0.3">
      <c r="A4" s="586" t="s">
        <v>101</v>
      </c>
      <c r="B4" s="586"/>
      <c r="C4" s="586"/>
      <c r="D4" s="586"/>
      <c r="E4" s="586"/>
      <c r="F4" s="16"/>
      <c r="G4" s="16"/>
    </row>
    <row r="5" spans="1:7" ht="10.35" customHeight="1" thickBot="1" x14ac:dyDescent="0.35">
      <c r="A5" s="50"/>
      <c r="B5" s="51"/>
      <c r="C5" s="51"/>
      <c r="D5" s="51"/>
      <c r="E5" s="51"/>
      <c r="F5" s="16"/>
      <c r="G5" s="16"/>
    </row>
    <row r="6" spans="1:7" ht="16.2" thickBot="1" x14ac:dyDescent="0.35">
      <c r="A6" s="544" t="s">
        <v>102</v>
      </c>
      <c r="B6" s="545"/>
      <c r="C6" s="545"/>
      <c r="D6" s="545"/>
      <c r="E6" s="576"/>
      <c r="F6" s="16"/>
      <c r="G6" s="16"/>
    </row>
    <row r="7" spans="1:7" ht="10.050000000000001" customHeight="1" thickBot="1" x14ac:dyDescent="0.35">
      <c r="A7" s="50"/>
      <c r="B7" s="51"/>
      <c r="C7" s="51"/>
      <c r="D7" s="51"/>
      <c r="E7" s="51"/>
      <c r="F7" s="16"/>
      <c r="G7" s="16"/>
    </row>
    <row r="8" spans="1:7" ht="14.4" thickBot="1" x14ac:dyDescent="0.35">
      <c r="A8" s="593" t="s">
        <v>103</v>
      </c>
      <c r="B8" s="594"/>
      <c r="C8" s="594"/>
      <c r="D8" s="594"/>
      <c r="E8" s="595"/>
      <c r="F8" s="16"/>
      <c r="G8" s="16"/>
    </row>
    <row r="9" spans="1:7" x14ac:dyDescent="0.3">
      <c r="A9" s="601" t="s">
        <v>104</v>
      </c>
      <c r="B9" s="602"/>
      <c r="C9" s="9" t="s">
        <v>2801</v>
      </c>
      <c r="D9" s="89" t="s">
        <v>105</v>
      </c>
      <c r="E9" s="10" t="s">
        <v>2802</v>
      </c>
      <c r="F9" s="52"/>
      <c r="G9" s="52"/>
    </row>
    <row r="10" spans="1:7" x14ac:dyDescent="0.3">
      <c r="A10" s="603" t="s">
        <v>106</v>
      </c>
      <c r="B10" s="604"/>
      <c r="C10" s="8" t="s">
        <v>320</v>
      </c>
      <c r="D10" s="90" t="s">
        <v>107</v>
      </c>
      <c r="E10" s="11">
        <v>50467948</v>
      </c>
      <c r="F10" s="52"/>
      <c r="G10" s="52"/>
    </row>
    <row r="11" spans="1:7" ht="26.1" customHeight="1" x14ac:dyDescent="0.3">
      <c r="A11" s="603" t="s">
        <v>108</v>
      </c>
      <c r="B11" s="604"/>
      <c r="C11" s="8" t="s">
        <v>2827</v>
      </c>
      <c r="D11" s="90" t="s">
        <v>109</v>
      </c>
      <c r="E11" s="11" t="s">
        <v>2803</v>
      </c>
      <c r="F11" s="52"/>
      <c r="G11" s="52"/>
    </row>
    <row r="12" spans="1:7" ht="40.049999999999997" customHeight="1" thickBot="1" x14ac:dyDescent="0.35">
      <c r="A12" s="605" t="s">
        <v>110</v>
      </c>
      <c r="B12" s="606"/>
      <c r="C12" s="606"/>
      <c r="D12" s="599" t="s">
        <v>2804</v>
      </c>
      <c r="E12" s="600"/>
      <c r="F12" s="53"/>
      <c r="G12" s="53"/>
    </row>
    <row r="13" spans="1:7" ht="10.35" customHeight="1" thickBot="1" x14ac:dyDescent="0.35">
      <c r="A13" s="50"/>
      <c r="B13" s="51"/>
      <c r="C13" s="51"/>
      <c r="D13" s="51"/>
      <c r="E13" s="51"/>
      <c r="F13" s="16"/>
      <c r="G13" s="16"/>
    </row>
    <row r="14" spans="1:7" ht="14.4" thickBot="1" x14ac:dyDescent="0.35">
      <c r="A14" s="541" t="s">
        <v>111</v>
      </c>
      <c r="B14" s="542"/>
      <c r="C14" s="542"/>
      <c r="D14" s="542"/>
      <c r="E14" s="543"/>
      <c r="F14" s="16"/>
      <c r="G14" s="16"/>
    </row>
    <row r="15" spans="1:7" x14ac:dyDescent="0.3">
      <c r="A15" s="581" t="s">
        <v>104</v>
      </c>
      <c r="B15" s="582"/>
      <c r="C15" s="45" t="s">
        <v>2805</v>
      </c>
      <c r="D15" s="92" t="s">
        <v>105</v>
      </c>
      <c r="E15" s="45" t="s">
        <v>2806</v>
      </c>
      <c r="F15" s="16"/>
      <c r="G15" s="16"/>
    </row>
    <row r="16" spans="1:7" ht="14.4" thickBot="1" x14ac:dyDescent="0.35">
      <c r="A16" s="579" t="s">
        <v>106</v>
      </c>
      <c r="B16" s="580"/>
      <c r="C16" s="46" t="s">
        <v>330</v>
      </c>
      <c r="D16" s="93" t="s">
        <v>107</v>
      </c>
      <c r="E16" s="46">
        <v>50591070</v>
      </c>
      <c r="F16" s="16"/>
      <c r="G16" s="16"/>
    </row>
    <row r="17" spans="1:7" ht="10.35" customHeight="1" thickBot="1" x14ac:dyDescent="0.35">
      <c r="A17" s="50"/>
      <c r="B17" s="51"/>
      <c r="C17" s="51"/>
      <c r="D17" s="51"/>
      <c r="E17" s="51"/>
      <c r="F17" s="16"/>
      <c r="G17" s="16"/>
    </row>
    <row r="18" spans="1:7" ht="14.4" thickBot="1" x14ac:dyDescent="0.35">
      <c r="A18" s="541" t="s">
        <v>112</v>
      </c>
      <c r="B18" s="542"/>
      <c r="C18" s="542"/>
      <c r="D18" s="542"/>
      <c r="E18" s="543"/>
      <c r="F18" s="16"/>
      <c r="G18" s="16"/>
    </row>
    <row r="19" spans="1:7" ht="28.05" customHeight="1" x14ac:dyDescent="0.3">
      <c r="A19" s="581" t="s">
        <v>113</v>
      </c>
      <c r="B19" s="582"/>
      <c r="C19" s="227" t="s">
        <v>2807</v>
      </c>
      <c r="D19" s="92" t="s">
        <v>114</v>
      </c>
      <c r="E19" s="228" t="s">
        <v>115</v>
      </c>
      <c r="F19" s="16"/>
      <c r="G19" s="16"/>
    </row>
    <row r="20" spans="1:7" x14ac:dyDescent="0.3">
      <c r="A20" s="587" t="s">
        <v>116</v>
      </c>
      <c r="B20" s="588"/>
      <c r="C20" s="47" t="s">
        <v>326</v>
      </c>
      <c r="D20" s="94" t="s">
        <v>117</v>
      </c>
      <c r="E20" s="47" t="s">
        <v>2808</v>
      </c>
      <c r="F20" s="16"/>
      <c r="G20" s="16"/>
    </row>
    <row r="21" spans="1:7" ht="14.4" thickBot="1" x14ac:dyDescent="0.35">
      <c r="A21" s="579" t="s">
        <v>118</v>
      </c>
      <c r="B21" s="580"/>
      <c r="C21" s="272">
        <v>210232155</v>
      </c>
      <c r="D21" s="95" t="s">
        <v>119</v>
      </c>
      <c r="E21" s="46">
        <v>606029832</v>
      </c>
      <c r="F21" s="16"/>
      <c r="G21" s="16"/>
    </row>
    <row r="22" spans="1:7" ht="10.35" customHeight="1" thickBot="1" x14ac:dyDescent="0.35">
      <c r="A22" s="50"/>
      <c r="B22" s="51"/>
      <c r="C22" s="51"/>
      <c r="D22" s="51"/>
      <c r="E22" s="51"/>
      <c r="F22" s="16"/>
      <c r="G22" s="16"/>
    </row>
    <row r="23" spans="1:7" ht="14.4" thickBot="1" x14ac:dyDescent="0.35">
      <c r="A23" s="541" t="s">
        <v>120</v>
      </c>
      <c r="B23" s="542"/>
      <c r="C23" s="542"/>
      <c r="D23" s="542"/>
      <c r="E23" s="543"/>
      <c r="F23" s="16"/>
      <c r="G23" s="16"/>
    </row>
    <row r="24" spans="1:7" ht="23.1" customHeight="1" thickBot="1" x14ac:dyDescent="0.35">
      <c r="A24" s="589" t="s">
        <v>121</v>
      </c>
      <c r="B24" s="590"/>
      <c r="C24" s="96" t="s">
        <v>122</v>
      </c>
      <c r="D24" s="97" t="s">
        <v>123</v>
      </c>
      <c r="E24" s="96" t="s">
        <v>124</v>
      </c>
      <c r="F24" s="16"/>
      <c r="G24" s="16"/>
    </row>
    <row r="25" spans="1:7" ht="70.05" customHeight="1" thickBot="1" x14ac:dyDescent="0.35">
      <c r="A25" s="591" t="s">
        <v>2812</v>
      </c>
      <c r="B25" s="592"/>
      <c r="C25" s="79" t="s">
        <v>2809</v>
      </c>
      <c r="D25" s="80" t="s">
        <v>2810</v>
      </c>
      <c r="E25" s="79" t="s">
        <v>2811</v>
      </c>
      <c r="F25" s="16"/>
      <c r="G25" s="16"/>
    </row>
    <row r="26" spans="1:7" ht="10.050000000000001" customHeight="1" thickBot="1" x14ac:dyDescent="0.35">
      <c r="A26" s="50"/>
      <c r="B26" s="51"/>
      <c r="C26" s="51"/>
      <c r="D26" s="51"/>
      <c r="E26" s="51"/>
      <c r="F26" s="16"/>
      <c r="G26" s="16"/>
    </row>
    <row r="27" spans="1:7" ht="15.6" x14ac:dyDescent="0.3">
      <c r="A27" s="596" t="s">
        <v>125</v>
      </c>
      <c r="B27" s="597"/>
      <c r="C27" s="597"/>
      <c r="D27" s="597"/>
      <c r="E27" s="598"/>
      <c r="F27" s="16"/>
      <c r="G27" s="16"/>
    </row>
    <row r="28" spans="1:7" ht="14.4" thickBot="1" x14ac:dyDescent="0.35">
      <c r="A28" s="549" t="s">
        <v>126</v>
      </c>
      <c r="B28" s="550"/>
      <c r="C28" s="550"/>
      <c r="D28" s="550"/>
      <c r="E28" s="551"/>
      <c r="F28" s="16"/>
      <c r="G28" s="16"/>
    </row>
    <row r="29" spans="1:7" ht="14.4" thickBot="1" x14ac:dyDescent="0.35">
      <c r="A29" s="390" t="s">
        <v>127</v>
      </c>
      <c r="B29" s="391"/>
      <c r="C29" s="391"/>
      <c r="D29" s="391"/>
      <c r="E29" s="392"/>
      <c r="F29" s="16"/>
      <c r="G29" s="16"/>
    </row>
    <row r="30" spans="1:7" ht="10.35" customHeight="1" thickBot="1" x14ac:dyDescent="0.35">
      <c r="A30" s="54"/>
      <c r="B30" s="55"/>
      <c r="C30" s="55"/>
      <c r="D30" s="55"/>
      <c r="E30" s="56"/>
      <c r="F30" s="16"/>
      <c r="G30" s="16"/>
    </row>
    <row r="31" spans="1:7" ht="14.4" thickBot="1" x14ac:dyDescent="0.35">
      <c r="A31" s="321" t="s">
        <v>128</v>
      </c>
      <c r="B31" s="322"/>
      <c r="C31" s="322"/>
      <c r="D31" s="25" t="s">
        <v>129</v>
      </c>
      <c r="E31" s="27" t="s">
        <v>130</v>
      </c>
      <c r="F31" s="16"/>
      <c r="G31" s="16"/>
    </row>
    <row r="32" spans="1:7" x14ac:dyDescent="0.3">
      <c r="A32" s="57" t="s">
        <v>131</v>
      </c>
      <c r="B32" s="552" t="s">
        <v>132</v>
      </c>
      <c r="C32" s="552"/>
      <c r="D32" s="58">
        <f>'Less Ob Instr (E2)'!D17</f>
        <v>3</v>
      </c>
      <c r="E32" s="59">
        <f>'Less Ob Instr (E2)'!F17</f>
        <v>0</v>
      </c>
      <c r="F32" s="16"/>
      <c r="G32" s="16"/>
    </row>
    <row r="33" spans="1:5" x14ac:dyDescent="0.3">
      <c r="A33" s="60" t="s">
        <v>133</v>
      </c>
      <c r="B33" s="553" t="s">
        <v>134</v>
      </c>
      <c r="C33" s="553"/>
      <c r="D33" s="61">
        <f>'Less Ob Instr (E2)'!D18</f>
        <v>3</v>
      </c>
      <c r="E33" s="62">
        <f>'Less Ob Instr (E2)'!F18</f>
        <v>0</v>
      </c>
    </row>
    <row r="34" spans="1:5" ht="25.35" customHeight="1" thickBot="1" x14ac:dyDescent="0.35">
      <c r="A34" s="63" t="s">
        <v>135</v>
      </c>
      <c r="B34" s="554" t="s">
        <v>136</v>
      </c>
      <c r="C34" s="554"/>
      <c r="D34" s="64">
        <f>'Less Ob Instr (E2)'!D19</f>
        <v>3</v>
      </c>
      <c r="E34" s="65">
        <f>'Less Ob Instr (E2)'!F19</f>
        <v>0</v>
      </c>
    </row>
    <row r="35" spans="1:5" ht="14.4" thickBot="1" x14ac:dyDescent="0.35">
      <c r="A35" s="566" t="s">
        <v>137</v>
      </c>
      <c r="B35" s="567"/>
      <c r="C35" s="567"/>
      <c r="D35" s="82">
        <f>SUM(D32:D34)</f>
        <v>9</v>
      </c>
      <c r="E35" s="112">
        <f>SUM(E32:E34)</f>
        <v>0</v>
      </c>
    </row>
    <row r="36" spans="1:5" ht="10.35" customHeight="1" thickBot="1" x14ac:dyDescent="0.35">
      <c r="A36" s="559"/>
      <c r="B36" s="560"/>
      <c r="C36" s="560"/>
      <c r="D36" s="560"/>
      <c r="E36" s="561"/>
    </row>
    <row r="37" spans="1:5" ht="14.4" thickBot="1" x14ac:dyDescent="0.35">
      <c r="A37" s="321" t="s">
        <v>138</v>
      </c>
      <c r="B37" s="322"/>
      <c r="C37" s="322"/>
      <c r="D37" s="82" t="s">
        <v>129</v>
      </c>
      <c r="E37" s="112" t="s">
        <v>130</v>
      </c>
    </row>
    <row r="38" spans="1:5" x14ac:dyDescent="0.3">
      <c r="A38" s="57" t="s">
        <v>131</v>
      </c>
      <c r="B38" s="552" t="s">
        <v>139</v>
      </c>
      <c r="C38" s="552"/>
      <c r="D38" s="58">
        <f>'Less Ob Instr (E2)'!D21</f>
        <v>3</v>
      </c>
      <c r="E38" s="59">
        <f>'Less Ob Instr (E2)'!F21</f>
        <v>0</v>
      </c>
    </row>
    <row r="39" spans="1:5" x14ac:dyDescent="0.3">
      <c r="A39" s="60" t="s">
        <v>133</v>
      </c>
      <c r="B39" s="553" t="s">
        <v>140</v>
      </c>
      <c r="C39" s="553"/>
      <c r="D39" s="61">
        <f>'Less Ob Instr (E2)'!D22</f>
        <v>3</v>
      </c>
      <c r="E39" s="62">
        <f>'Less Ob Instr (E2)'!F22</f>
        <v>0</v>
      </c>
    </row>
    <row r="40" spans="1:5" ht="25.35" customHeight="1" x14ac:dyDescent="0.3">
      <c r="A40" s="60" t="s">
        <v>135</v>
      </c>
      <c r="B40" s="553" t="s">
        <v>141</v>
      </c>
      <c r="C40" s="553"/>
      <c r="D40" s="61">
        <f>'Less Ob Instr (E2)'!D23</f>
        <v>3</v>
      </c>
      <c r="E40" s="62">
        <f>'Less Ob Instr (E2)'!F23</f>
        <v>0</v>
      </c>
    </row>
    <row r="41" spans="1:5" ht="14.4" thickBot="1" x14ac:dyDescent="0.35">
      <c r="A41" s="63" t="s">
        <v>142</v>
      </c>
      <c r="B41" s="554" t="s">
        <v>143</v>
      </c>
      <c r="C41" s="554"/>
      <c r="D41" s="64">
        <f>'Less Ob Instr (E2)'!D24</f>
        <v>3</v>
      </c>
      <c r="E41" s="65">
        <f>'Less Ob Instr (E2)'!F24</f>
        <v>0</v>
      </c>
    </row>
    <row r="42" spans="1:5" ht="14.4" thickBot="1" x14ac:dyDescent="0.35">
      <c r="A42" s="566" t="s">
        <v>137</v>
      </c>
      <c r="B42" s="567"/>
      <c r="C42" s="567"/>
      <c r="D42" s="82">
        <f>SUM(D38:D41)</f>
        <v>12</v>
      </c>
      <c r="E42" s="112">
        <f>SUM(E38:E41)</f>
        <v>0</v>
      </c>
    </row>
    <row r="43" spans="1:5" ht="16.2" thickBot="1" x14ac:dyDescent="0.35">
      <c r="A43" s="568" t="s">
        <v>144</v>
      </c>
      <c r="B43" s="569"/>
      <c r="C43" s="570"/>
      <c r="D43" s="113">
        <f>D35+D42</f>
        <v>21</v>
      </c>
      <c r="E43" s="113">
        <f>E35+E42</f>
        <v>0</v>
      </c>
    </row>
    <row r="44" spans="1:5" ht="14.4" thickBot="1" x14ac:dyDescent="0.35">
      <c r="A44" s="528" t="s">
        <v>145</v>
      </c>
      <c r="B44" s="529"/>
      <c r="C44" s="529"/>
      <c r="D44" s="529"/>
      <c r="E44" s="530"/>
    </row>
    <row r="45" spans="1:5" ht="65.099999999999994" customHeight="1" thickBot="1" x14ac:dyDescent="0.35">
      <c r="A45" s="102" t="s">
        <v>129</v>
      </c>
      <c r="B45" s="497"/>
      <c r="C45" s="497"/>
      <c r="D45" s="497"/>
      <c r="E45" s="497"/>
    </row>
    <row r="46" spans="1:5" ht="65.099999999999994" customHeight="1" thickBot="1" x14ac:dyDescent="0.35">
      <c r="A46" s="106" t="s">
        <v>130</v>
      </c>
      <c r="B46" s="497"/>
      <c r="C46" s="497"/>
      <c r="D46" s="497"/>
      <c r="E46" s="497"/>
    </row>
    <row r="47" spans="1:5" ht="10.35" customHeight="1" thickBot="1" x14ac:dyDescent="0.35">
      <c r="A47" s="513"/>
      <c r="B47" s="513"/>
      <c r="C47" s="513"/>
      <c r="D47" s="513"/>
      <c r="E47" s="513"/>
    </row>
    <row r="48" spans="1:5" ht="14.4" thickBot="1" x14ac:dyDescent="0.35">
      <c r="A48" s="525" t="s">
        <v>146</v>
      </c>
      <c r="B48" s="526"/>
      <c r="C48" s="526"/>
      <c r="D48" s="526"/>
      <c r="E48" s="527"/>
    </row>
    <row r="49" spans="1:5" ht="10.35" customHeight="1" thickBot="1" x14ac:dyDescent="0.35">
      <c r="A49" s="534"/>
      <c r="B49" s="535"/>
      <c r="C49" s="535"/>
      <c r="D49" s="535"/>
      <c r="E49" s="536"/>
    </row>
    <row r="50" spans="1:5" ht="14.85" customHeight="1" thickBot="1" x14ac:dyDescent="0.35">
      <c r="A50" s="494" t="s">
        <v>147</v>
      </c>
      <c r="B50" s="495"/>
      <c r="C50" s="496"/>
      <c r="D50" s="98" t="s">
        <v>129</v>
      </c>
      <c r="E50" s="107" t="s">
        <v>130</v>
      </c>
    </row>
    <row r="51" spans="1:5" x14ac:dyDescent="0.3">
      <c r="A51" s="66" t="s">
        <v>131</v>
      </c>
      <c r="B51" s="521" t="s">
        <v>148</v>
      </c>
      <c r="C51" s="522"/>
      <c r="D51" s="67">
        <f>'Less Ob Instr (E2)'!D29</f>
        <v>3</v>
      </c>
      <c r="E51" s="68">
        <f>'Less Ob Instr (E2)'!F29</f>
        <v>0</v>
      </c>
    </row>
    <row r="52" spans="1:5" x14ac:dyDescent="0.3">
      <c r="A52" s="69" t="s">
        <v>133</v>
      </c>
      <c r="B52" s="523" t="s">
        <v>149</v>
      </c>
      <c r="C52" s="524"/>
      <c r="D52" s="70">
        <f>'Less Ob Instr (E2)'!D30</f>
        <v>3</v>
      </c>
      <c r="E52" s="71">
        <f>'Less Ob Instr (E2)'!F30</f>
        <v>0</v>
      </c>
    </row>
    <row r="53" spans="1:5" ht="27" customHeight="1" thickBot="1" x14ac:dyDescent="0.35">
      <c r="A53" s="72" t="s">
        <v>135</v>
      </c>
      <c r="B53" s="537" t="s">
        <v>150</v>
      </c>
      <c r="C53" s="538"/>
      <c r="D53" s="73">
        <f>'Less Ob Instr (E2)'!D31</f>
        <v>2</v>
      </c>
      <c r="E53" s="74">
        <f>'Less Ob Instr (E2)'!F31</f>
        <v>0</v>
      </c>
    </row>
    <row r="54" spans="1:5" ht="14.4" thickBot="1" x14ac:dyDescent="0.35">
      <c r="A54" s="519" t="s">
        <v>137</v>
      </c>
      <c r="B54" s="520"/>
      <c r="C54" s="520"/>
      <c r="D54" s="119">
        <f>SUM(D51:D53)</f>
        <v>8</v>
      </c>
      <c r="E54" s="149">
        <f>SUM(E51:E53)</f>
        <v>0</v>
      </c>
    </row>
    <row r="55" spans="1:5" ht="10.35" customHeight="1" thickBot="1" x14ac:dyDescent="0.35">
      <c r="A55" s="546"/>
      <c r="B55" s="547"/>
      <c r="C55" s="547"/>
      <c r="D55" s="547"/>
      <c r="E55" s="548"/>
    </row>
    <row r="56" spans="1:5" ht="14.4" thickBot="1" x14ac:dyDescent="0.35">
      <c r="A56" s="494" t="s">
        <v>151</v>
      </c>
      <c r="B56" s="495"/>
      <c r="C56" s="496"/>
      <c r="D56" s="99" t="s">
        <v>129</v>
      </c>
      <c r="E56" s="109" t="s">
        <v>130</v>
      </c>
    </row>
    <row r="57" spans="1:5" x14ac:dyDescent="0.3">
      <c r="A57" s="66" t="s">
        <v>131</v>
      </c>
      <c r="B57" s="521" t="s">
        <v>152</v>
      </c>
      <c r="C57" s="522"/>
      <c r="D57" s="67">
        <f>'Less Ob Instr (E2)'!D33</f>
        <v>3</v>
      </c>
      <c r="E57" s="68">
        <f>'Less Ob Instr (E2)'!F33</f>
        <v>0</v>
      </c>
    </row>
    <row r="58" spans="1:5" x14ac:dyDescent="0.3">
      <c r="A58" s="69" t="s">
        <v>133</v>
      </c>
      <c r="B58" s="523" t="s">
        <v>153</v>
      </c>
      <c r="C58" s="524"/>
      <c r="D58" s="70">
        <f>'Less Ob Instr (E2)'!D34</f>
        <v>3</v>
      </c>
      <c r="E58" s="71">
        <f>'Less Ob Instr (E2)'!F34</f>
        <v>0</v>
      </c>
    </row>
    <row r="59" spans="1:5" x14ac:dyDescent="0.3">
      <c r="A59" s="69" t="s">
        <v>135</v>
      </c>
      <c r="B59" s="523" t="s">
        <v>154</v>
      </c>
      <c r="C59" s="524"/>
      <c r="D59" s="70">
        <f>'Less Ob Instr (E2)'!D35</f>
        <v>3</v>
      </c>
      <c r="E59" s="71">
        <f>'Less Ob Instr (E2)'!F35</f>
        <v>0</v>
      </c>
    </row>
    <row r="60" spans="1:5" ht="25.35" customHeight="1" x14ac:dyDescent="0.3">
      <c r="A60" s="69" t="s">
        <v>155</v>
      </c>
      <c r="B60" s="523" t="s">
        <v>156</v>
      </c>
      <c r="C60" s="524"/>
      <c r="D60" s="70">
        <f>'Less Ob Instr (E2)'!D36</f>
        <v>3</v>
      </c>
      <c r="E60" s="71">
        <f>'Less Ob Instr (E2)'!F36</f>
        <v>0</v>
      </c>
    </row>
    <row r="61" spans="1:5" ht="14.4" thickBot="1" x14ac:dyDescent="0.35">
      <c r="A61" s="75" t="s">
        <v>157</v>
      </c>
      <c r="B61" s="514" t="s">
        <v>158</v>
      </c>
      <c r="C61" s="515"/>
      <c r="D61" s="73">
        <f>'Less Ob Instr (E2)'!D37</f>
        <v>2</v>
      </c>
      <c r="E61" s="74">
        <f>'Less Ob Instr (E2)'!F37</f>
        <v>0</v>
      </c>
    </row>
    <row r="62" spans="1:5" ht="14.4" thickBot="1" x14ac:dyDescent="0.35">
      <c r="A62" s="519" t="s">
        <v>137</v>
      </c>
      <c r="B62" s="520"/>
      <c r="C62" s="520"/>
      <c r="D62" s="100">
        <f>SUM(D57:D61)</f>
        <v>14</v>
      </c>
      <c r="E62" s="108">
        <f>SUM(E57:E61)</f>
        <v>0</v>
      </c>
    </row>
    <row r="63" spans="1:5" ht="10.35" customHeight="1" thickBot="1" x14ac:dyDescent="0.35">
      <c r="A63" s="562"/>
      <c r="B63" s="562"/>
      <c r="C63" s="562"/>
      <c r="D63" s="562"/>
      <c r="E63" s="562"/>
    </row>
    <row r="64" spans="1:5" ht="14.4" thickBot="1" x14ac:dyDescent="0.35">
      <c r="A64" s="494" t="s">
        <v>159</v>
      </c>
      <c r="B64" s="495"/>
      <c r="C64" s="496"/>
      <c r="D64" s="99" t="s">
        <v>129</v>
      </c>
      <c r="E64" s="109" t="s">
        <v>130</v>
      </c>
    </row>
    <row r="65" spans="1:5" x14ac:dyDescent="0.3">
      <c r="A65" s="66" t="s">
        <v>131</v>
      </c>
      <c r="B65" s="521" t="s">
        <v>160</v>
      </c>
      <c r="C65" s="522"/>
      <c r="D65" s="67">
        <f>'Less Ob Instr (E2)'!D39</f>
        <v>3</v>
      </c>
      <c r="E65" s="68">
        <f>'Less Ob Instr (E2)'!F39</f>
        <v>0</v>
      </c>
    </row>
    <row r="66" spans="1:5" ht="14.4" thickBot="1" x14ac:dyDescent="0.35">
      <c r="A66" s="75" t="s">
        <v>133</v>
      </c>
      <c r="B66" s="514" t="s">
        <v>161</v>
      </c>
      <c r="C66" s="515"/>
      <c r="D66" s="73">
        <f>'Less Ob Instr (E2)'!D40</f>
        <v>2</v>
      </c>
      <c r="E66" s="74">
        <f>'Less Ob Instr (E2)'!F40</f>
        <v>0</v>
      </c>
    </row>
    <row r="67" spans="1:5" ht="14.4" thickBot="1" x14ac:dyDescent="0.35">
      <c r="A67" s="519" t="s">
        <v>137</v>
      </c>
      <c r="B67" s="520"/>
      <c r="C67" s="520"/>
      <c r="D67" s="101">
        <f>SUM(D65:D66)</f>
        <v>5</v>
      </c>
      <c r="E67" s="111">
        <f>SUM(E65:E66)</f>
        <v>0</v>
      </c>
    </row>
    <row r="68" spans="1:5" ht="10.35" customHeight="1" thickBot="1" x14ac:dyDescent="0.35">
      <c r="A68" s="563"/>
      <c r="B68" s="564"/>
      <c r="C68" s="564"/>
      <c r="D68" s="564"/>
      <c r="E68" s="565"/>
    </row>
    <row r="69" spans="1:5" ht="14.85" customHeight="1" thickBot="1" x14ac:dyDescent="0.35">
      <c r="A69" s="494" t="s">
        <v>162</v>
      </c>
      <c r="B69" s="495"/>
      <c r="C69" s="496"/>
      <c r="D69" s="99" t="s">
        <v>129</v>
      </c>
      <c r="E69" s="109" t="s">
        <v>130</v>
      </c>
    </row>
    <row r="70" spans="1:5" x14ac:dyDescent="0.3">
      <c r="A70" s="159" t="s">
        <v>131</v>
      </c>
      <c r="B70" s="521" t="s">
        <v>163</v>
      </c>
      <c r="C70" s="522"/>
      <c r="D70" s="67">
        <f>'Less Ob Instr (E2)'!D42</f>
        <v>3</v>
      </c>
      <c r="E70" s="68">
        <f>'Less Ob Instr (E2)'!F42</f>
        <v>0</v>
      </c>
    </row>
    <row r="71" spans="1:5" ht="25.35" customHeight="1" thickBot="1" x14ac:dyDescent="0.35">
      <c r="A71" s="160" t="s">
        <v>133</v>
      </c>
      <c r="B71" s="514" t="s">
        <v>164</v>
      </c>
      <c r="C71" s="515"/>
      <c r="D71" s="73">
        <f>'Less Ob Instr (E2)'!D43</f>
        <v>3</v>
      </c>
      <c r="E71" s="74">
        <f>'Less Ob Instr (E2)'!F43</f>
        <v>0</v>
      </c>
    </row>
    <row r="72" spans="1:5" ht="14.4" thickBot="1" x14ac:dyDescent="0.35">
      <c r="A72" s="519" t="s">
        <v>137</v>
      </c>
      <c r="B72" s="520"/>
      <c r="C72" s="520"/>
      <c r="D72" s="100">
        <f>SUM(D70:D71)</f>
        <v>6</v>
      </c>
      <c r="E72" s="108">
        <f>SUM(E70:E71)</f>
        <v>0</v>
      </c>
    </row>
    <row r="73" spans="1:5" ht="16.350000000000001" customHeight="1" thickBot="1" x14ac:dyDescent="0.35">
      <c r="A73" s="544" t="s">
        <v>165</v>
      </c>
      <c r="B73" s="545"/>
      <c r="C73" s="576"/>
      <c r="D73" s="114">
        <f>D72+D67+D62+D54</f>
        <v>33</v>
      </c>
      <c r="E73" s="113">
        <f>E72+E67+E62+E54</f>
        <v>0</v>
      </c>
    </row>
    <row r="74" spans="1:5" ht="14.55" customHeight="1" thickBot="1" x14ac:dyDescent="0.35">
      <c r="A74" s="528" t="s">
        <v>145</v>
      </c>
      <c r="B74" s="529"/>
      <c r="C74" s="529"/>
      <c r="D74" s="529"/>
      <c r="E74" s="530"/>
    </row>
    <row r="75" spans="1:5" ht="65.099999999999994" customHeight="1" thickBot="1" x14ac:dyDescent="0.35">
      <c r="A75" s="102" t="s">
        <v>129</v>
      </c>
      <c r="B75" s="497"/>
      <c r="C75" s="497"/>
      <c r="D75" s="497"/>
      <c r="E75" s="497"/>
    </row>
    <row r="76" spans="1:5" ht="65.099999999999994" customHeight="1" thickBot="1" x14ac:dyDescent="0.35">
      <c r="A76" s="106" t="s">
        <v>130</v>
      </c>
      <c r="B76" s="497"/>
      <c r="C76" s="497"/>
      <c r="D76" s="497"/>
      <c r="E76" s="497"/>
    </row>
    <row r="77" spans="1:5" ht="10.050000000000001" customHeight="1" thickBot="1" x14ac:dyDescent="0.35">
      <c r="A77" s="513"/>
      <c r="B77" s="513"/>
      <c r="C77" s="513"/>
      <c r="D77" s="513"/>
      <c r="E77" s="513"/>
    </row>
    <row r="78" spans="1:5" ht="14.4" thickBot="1" x14ac:dyDescent="0.35">
      <c r="A78" s="525" t="s">
        <v>166</v>
      </c>
      <c r="B78" s="526"/>
      <c r="C78" s="526"/>
      <c r="D78" s="526"/>
      <c r="E78" s="527"/>
    </row>
    <row r="79" spans="1:5" ht="10.35" customHeight="1" thickBot="1" x14ac:dyDescent="0.35">
      <c r="A79" s="534"/>
      <c r="B79" s="535"/>
      <c r="C79" s="535"/>
      <c r="D79" s="535"/>
      <c r="E79" s="536"/>
    </row>
    <row r="80" spans="1:5" ht="14.4" thickBot="1" x14ac:dyDescent="0.35">
      <c r="A80" s="494" t="s">
        <v>167</v>
      </c>
      <c r="B80" s="532"/>
      <c r="C80" s="103"/>
      <c r="D80" s="98" t="s">
        <v>129</v>
      </c>
      <c r="E80" s="107" t="s">
        <v>130</v>
      </c>
    </row>
    <row r="81" spans="1:5" x14ac:dyDescent="0.3">
      <c r="A81" s="76" t="s">
        <v>131</v>
      </c>
      <c r="B81" s="521" t="s">
        <v>168</v>
      </c>
      <c r="C81" s="522"/>
      <c r="D81" s="67">
        <f>'Less Ob Instr (E2)'!D48</f>
        <v>3</v>
      </c>
      <c r="E81" s="68">
        <f>'Less Ob Instr (E2)'!F48</f>
        <v>0</v>
      </c>
    </row>
    <row r="82" spans="1:5" x14ac:dyDescent="0.3">
      <c r="A82" s="69" t="s">
        <v>133</v>
      </c>
      <c r="B82" s="523" t="s">
        <v>169</v>
      </c>
      <c r="C82" s="524"/>
      <c r="D82" s="70">
        <f>'Less Ob Instr (E2)'!D49</f>
        <v>3</v>
      </c>
      <c r="E82" s="71">
        <f>'Less Ob Instr (E2)'!F49</f>
        <v>0</v>
      </c>
    </row>
    <row r="83" spans="1:5" ht="14.4" thickBot="1" x14ac:dyDescent="0.35">
      <c r="A83" s="75" t="s">
        <v>135</v>
      </c>
      <c r="B83" s="514" t="s">
        <v>170</v>
      </c>
      <c r="C83" s="515"/>
      <c r="D83" s="73">
        <f>'Less Ob Instr (E2)'!D50</f>
        <v>2</v>
      </c>
      <c r="E83" s="74">
        <f>'Less Ob Instr (E2)'!F50</f>
        <v>0</v>
      </c>
    </row>
    <row r="84" spans="1:5" ht="14.4" thickBot="1" x14ac:dyDescent="0.35">
      <c r="A84" s="519" t="s">
        <v>137</v>
      </c>
      <c r="B84" s="520"/>
      <c r="C84" s="520"/>
      <c r="D84" s="100">
        <f>SUM(D81:D83)</f>
        <v>8</v>
      </c>
      <c r="E84" s="108">
        <f>SUM(E81:E83)</f>
        <v>0</v>
      </c>
    </row>
    <row r="85" spans="1:5" ht="10.35" customHeight="1" thickBot="1" x14ac:dyDescent="0.35">
      <c r="A85" s="546"/>
      <c r="B85" s="547"/>
      <c r="C85" s="547"/>
      <c r="D85" s="547"/>
      <c r="E85" s="548"/>
    </row>
    <row r="86" spans="1:5" ht="14.4" thickBot="1" x14ac:dyDescent="0.35">
      <c r="A86" s="494" t="s">
        <v>171</v>
      </c>
      <c r="B86" s="495"/>
      <c r="C86" s="496"/>
      <c r="D86" s="99" t="s">
        <v>129</v>
      </c>
      <c r="E86" s="109" t="s">
        <v>130</v>
      </c>
    </row>
    <row r="87" spans="1:5" x14ac:dyDescent="0.3">
      <c r="A87" s="66" t="s">
        <v>131</v>
      </c>
      <c r="B87" s="521" t="s">
        <v>172</v>
      </c>
      <c r="C87" s="522"/>
      <c r="D87" s="67">
        <f>'Less Ob Instr (E2)'!D52</f>
        <v>3</v>
      </c>
      <c r="E87" s="68">
        <f>'Less Ob Instr (E2)'!F52</f>
        <v>0</v>
      </c>
    </row>
    <row r="88" spans="1:5" ht="14.4" thickBot="1" x14ac:dyDescent="0.35">
      <c r="A88" s="75" t="s">
        <v>133</v>
      </c>
      <c r="B88" s="514" t="s">
        <v>173</v>
      </c>
      <c r="C88" s="515"/>
      <c r="D88" s="73">
        <f>'Less Ob Instr (E2)'!D53</f>
        <v>3</v>
      </c>
      <c r="E88" s="74">
        <f>'Less Ob Instr (E2)'!F53</f>
        <v>0</v>
      </c>
    </row>
    <row r="89" spans="1:5" ht="14.4" thickBot="1" x14ac:dyDescent="0.35">
      <c r="A89" s="519" t="s">
        <v>137</v>
      </c>
      <c r="B89" s="520"/>
      <c r="C89" s="577"/>
      <c r="D89" s="100">
        <f>SUM(D87:D88)</f>
        <v>6</v>
      </c>
      <c r="E89" s="108">
        <f>SUM(E87:E88)</f>
        <v>0</v>
      </c>
    </row>
    <row r="90" spans="1:5" ht="10.35" customHeight="1" thickBot="1" x14ac:dyDescent="0.35">
      <c r="A90" s="563"/>
      <c r="B90" s="564"/>
      <c r="C90" s="564"/>
      <c r="D90" s="564"/>
      <c r="E90" s="565"/>
    </row>
    <row r="91" spans="1:5" ht="14.4" thickBot="1" x14ac:dyDescent="0.35">
      <c r="A91" s="494" t="s">
        <v>174</v>
      </c>
      <c r="B91" s="495"/>
      <c r="C91" s="496"/>
      <c r="D91" s="99" t="s">
        <v>129</v>
      </c>
      <c r="E91" s="109" t="s">
        <v>130</v>
      </c>
    </row>
    <row r="92" spans="1:5" ht="25.35" customHeight="1" x14ac:dyDescent="0.3">
      <c r="A92" s="66" t="s">
        <v>131</v>
      </c>
      <c r="B92" s="521" t="s">
        <v>175</v>
      </c>
      <c r="C92" s="522"/>
      <c r="D92" s="67">
        <f>'Less Ob Instr (E2)'!D55</f>
        <v>3</v>
      </c>
      <c r="E92" s="68">
        <f>'Less Ob Instr (E2)'!F55</f>
        <v>0</v>
      </c>
    </row>
    <row r="93" spans="1:5" ht="14.4" thickBot="1" x14ac:dyDescent="0.35">
      <c r="A93" s="75" t="s">
        <v>133</v>
      </c>
      <c r="B93" s="514" t="s">
        <v>176</v>
      </c>
      <c r="C93" s="515"/>
      <c r="D93" s="73">
        <f>'Less Ob Instr (E2)'!D56</f>
        <v>3</v>
      </c>
      <c r="E93" s="74">
        <f>'Less Ob Instr (E2)'!F56</f>
        <v>0</v>
      </c>
    </row>
    <row r="94" spans="1:5" ht="14.4" thickBot="1" x14ac:dyDescent="0.35">
      <c r="A94" s="519" t="s">
        <v>137</v>
      </c>
      <c r="B94" s="520"/>
      <c r="C94" s="520"/>
      <c r="D94" s="104">
        <f>SUM(D92:D93)</f>
        <v>6</v>
      </c>
      <c r="E94" s="111">
        <f>SUM(E92:E93)</f>
        <v>0</v>
      </c>
    </row>
    <row r="95" spans="1:5" ht="16.2" thickBot="1" x14ac:dyDescent="0.35">
      <c r="A95" s="544" t="s">
        <v>177</v>
      </c>
      <c r="B95" s="545"/>
      <c r="C95" s="545"/>
      <c r="D95" s="113">
        <f>D94+D89+D84</f>
        <v>20</v>
      </c>
      <c r="E95" s="113">
        <f>E94+E89+E84</f>
        <v>0</v>
      </c>
    </row>
    <row r="96" spans="1:5" ht="16.2" thickBot="1" x14ac:dyDescent="0.35">
      <c r="A96" s="572" t="s">
        <v>178</v>
      </c>
      <c r="B96" s="573"/>
      <c r="C96" s="573"/>
      <c r="D96" s="145">
        <f>SUM(D95,D73,D43)</f>
        <v>74</v>
      </c>
      <c r="E96" s="146">
        <f>SUM(E95,E73,E43)</f>
        <v>0</v>
      </c>
    </row>
    <row r="97" spans="1:5" ht="14.55" customHeight="1" thickBot="1" x14ac:dyDescent="0.35">
      <c r="A97" s="528" t="s">
        <v>145</v>
      </c>
      <c r="B97" s="529"/>
      <c r="C97" s="529"/>
      <c r="D97" s="529"/>
      <c r="E97" s="530"/>
    </row>
    <row r="98" spans="1:5" ht="65.099999999999994" customHeight="1" thickBot="1" x14ac:dyDescent="0.35">
      <c r="A98" s="102" t="s">
        <v>129</v>
      </c>
      <c r="B98" s="497"/>
      <c r="C98" s="497"/>
      <c r="D98" s="497"/>
      <c r="E98" s="497"/>
    </row>
    <row r="99" spans="1:5" ht="65.099999999999994" customHeight="1" thickBot="1" x14ac:dyDescent="0.35">
      <c r="A99" s="106" t="s">
        <v>130</v>
      </c>
      <c r="B99" s="497"/>
      <c r="C99" s="497"/>
      <c r="D99" s="497"/>
      <c r="E99" s="497"/>
    </row>
    <row r="100" spans="1:5" ht="10.050000000000001" customHeight="1" thickBot="1" x14ac:dyDescent="0.35">
      <c r="A100" s="558"/>
      <c r="B100" s="558"/>
      <c r="C100" s="558"/>
      <c r="D100" s="558"/>
      <c r="E100" s="558"/>
    </row>
    <row r="101" spans="1:5" ht="14.4" thickBot="1" x14ac:dyDescent="0.35">
      <c r="A101" s="525" t="s">
        <v>179</v>
      </c>
      <c r="B101" s="526"/>
      <c r="C101" s="526"/>
      <c r="D101" s="526"/>
      <c r="E101" s="527"/>
    </row>
    <row r="102" spans="1:5" ht="10.35" customHeight="1" thickBot="1" x14ac:dyDescent="0.35">
      <c r="A102" s="534"/>
      <c r="B102" s="535"/>
      <c r="C102" s="535"/>
      <c r="D102" s="535"/>
      <c r="E102" s="536"/>
    </row>
    <row r="103" spans="1:5" ht="14.4" thickBot="1" x14ac:dyDescent="0.35">
      <c r="A103" s="494" t="s">
        <v>180</v>
      </c>
      <c r="B103" s="495"/>
      <c r="C103" s="496"/>
      <c r="D103" s="81" t="s">
        <v>129</v>
      </c>
      <c r="E103" s="110" t="s">
        <v>130</v>
      </c>
    </row>
    <row r="104" spans="1:5" x14ac:dyDescent="0.3">
      <c r="A104" s="66" t="s">
        <v>131</v>
      </c>
      <c r="B104" s="521" t="s">
        <v>181</v>
      </c>
      <c r="C104" s="522"/>
      <c r="D104" s="2">
        <v>3</v>
      </c>
      <c r="E104" s="3"/>
    </row>
    <row r="105" spans="1:5" ht="25.35" customHeight="1" x14ac:dyDescent="0.3">
      <c r="A105" s="69" t="s">
        <v>133</v>
      </c>
      <c r="B105" s="523" t="s">
        <v>182</v>
      </c>
      <c r="C105" s="524"/>
      <c r="D105" s="4">
        <v>2</v>
      </c>
      <c r="E105" s="5"/>
    </row>
    <row r="106" spans="1:5" ht="25.35" customHeight="1" thickBot="1" x14ac:dyDescent="0.35">
      <c r="A106" s="75" t="s">
        <v>135</v>
      </c>
      <c r="B106" s="514" t="s">
        <v>183</v>
      </c>
      <c r="C106" s="515"/>
      <c r="D106" s="6">
        <v>2</v>
      </c>
      <c r="E106" s="7"/>
    </row>
    <row r="107" spans="1:5" ht="14.4" thickBot="1" x14ac:dyDescent="0.35">
      <c r="A107" s="519" t="s">
        <v>137</v>
      </c>
      <c r="B107" s="520"/>
      <c r="C107" s="520"/>
      <c r="D107" s="105">
        <f>SUM(D104:D106)</f>
        <v>7</v>
      </c>
      <c r="E107" s="108">
        <f>SUM(E104:E106)</f>
        <v>0</v>
      </c>
    </row>
    <row r="108" spans="1:5" ht="10.35" customHeight="1" thickBot="1" x14ac:dyDescent="0.35">
      <c r="A108" s="546"/>
      <c r="B108" s="547"/>
      <c r="C108" s="547"/>
      <c r="D108" s="547"/>
      <c r="E108" s="548"/>
    </row>
    <row r="109" spans="1:5" ht="14.4" thickBot="1" x14ac:dyDescent="0.35">
      <c r="A109" s="494" t="s">
        <v>184</v>
      </c>
      <c r="B109" s="495"/>
      <c r="C109" s="496"/>
      <c r="D109" s="99" t="s">
        <v>129</v>
      </c>
      <c r="E109" s="109" t="s">
        <v>130</v>
      </c>
    </row>
    <row r="110" spans="1:5" x14ac:dyDescent="0.3">
      <c r="A110" s="76" t="s">
        <v>131</v>
      </c>
      <c r="B110" s="539" t="s">
        <v>185</v>
      </c>
      <c r="C110" s="540"/>
      <c r="D110" s="2">
        <v>3</v>
      </c>
      <c r="E110" s="3"/>
    </row>
    <row r="111" spans="1:5" x14ac:dyDescent="0.3">
      <c r="A111" s="69" t="s">
        <v>133</v>
      </c>
      <c r="B111" s="523" t="s">
        <v>186</v>
      </c>
      <c r="C111" s="524"/>
      <c r="D111" s="4">
        <v>3</v>
      </c>
      <c r="E111" s="5"/>
    </row>
    <row r="112" spans="1:5" x14ac:dyDescent="0.3">
      <c r="A112" s="69" t="s">
        <v>135</v>
      </c>
      <c r="B112" s="523" t="s">
        <v>187</v>
      </c>
      <c r="C112" s="524"/>
      <c r="D112" s="4">
        <v>3</v>
      </c>
      <c r="E112" s="5"/>
    </row>
    <row r="113" spans="1:5" ht="25.35" customHeight="1" x14ac:dyDescent="0.3">
      <c r="A113" s="69" t="s">
        <v>155</v>
      </c>
      <c r="B113" s="523" t="s">
        <v>188</v>
      </c>
      <c r="C113" s="524"/>
      <c r="D113" s="4">
        <v>3</v>
      </c>
      <c r="E113" s="5"/>
    </row>
    <row r="114" spans="1:5" x14ac:dyDescent="0.3">
      <c r="A114" s="69" t="s">
        <v>157</v>
      </c>
      <c r="B114" s="523" t="s">
        <v>189</v>
      </c>
      <c r="C114" s="524"/>
      <c r="D114" s="4">
        <v>3</v>
      </c>
      <c r="E114" s="5"/>
    </row>
    <row r="115" spans="1:5" ht="14.4" thickBot="1" x14ac:dyDescent="0.35">
      <c r="A115" s="75" t="s">
        <v>190</v>
      </c>
      <c r="B115" s="523" t="s">
        <v>191</v>
      </c>
      <c r="C115" s="524"/>
      <c r="D115" s="6"/>
      <c r="E115" s="7"/>
    </row>
    <row r="116" spans="1:5" ht="14.4" thickBot="1" x14ac:dyDescent="0.35">
      <c r="A116" s="519" t="s">
        <v>137</v>
      </c>
      <c r="B116" s="520"/>
      <c r="C116" s="520"/>
      <c r="D116" s="105">
        <f>SUM(D110:D115)</f>
        <v>15</v>
      </c>
      <c r="E116" s="108">
        <f>SUM(E110:E115)</f>
        <v>0</v>
      </c>
    </row>
    <row r="117" spans="1:5" ht="16.350000000000001" customHeight="1" thickBot="1" x14ac:dyDescent="0.35">
      <c r="A117" s="544" t="s">
        <v>192</v>
      </c>
      <c r="B117" s="545"/>
      <c r="C117" s="545"/>
      <c r="D117" s="113">
        <f>D116+D107</f>
        <v>22</v>
      </c>
      <c r="E117" s="113">
        <f>E116+E107</f>
        <v>0</v>
      </c>
    </row>
    <row r="118" spans="1:5" ht="14.55" customHeight="1" thickBot="1" x14ac:dyDescent="0.35">
      <c r="A118" s="528" t="s">
        <v>145</v>
      </c>
      <c r="B118" s="529"/>
      <c r="C118" s="529"/>
      <c r="D118" s="529"/>
      <c r="E118" s="530"/>
    </row>
    <row r="119" spans="1:5" ht="65.099999999999994" customHeight="1" thickBot="1" x14ac:dyDescent="0.35">
      <c r="A119" s="102" t="s">
        <v>129</v>
      </c>
      <c r="B119" s="516"/>
      <c r="C119" s="517"/>
      <c r="D119" s="517"/>
      <c r="E119" s="518"/>
    </row>
    <row r="120" spans="1:5" ht="65.099999999999994" customHeight="1" thickBot="1" x14ac:dyDescent="0.35">
      <c r="A120" s="106" t="s">
        <v>130</v>
      </c>
      <c r="B120" s="497"/>
      <c r="C120" s="497"/>
      <c r="D120" s="497"/>
      <c r="E120" s="497"/>
    </row>
    <row r="121" spans="1:5" ht="10.35" customHeight="1" thickBot="1" x14ac:dyDescent="0.35">
      <c r="A121" s="513"/>
      <c r="B121" s="513"/>
      <c r="C121" s="513"/>
      <c r="D121" s="513"/>
      <c r="E121" s="513"/>
    </row>
    <row r="122" spans="1:5" ht="14.4" thickBot="1" x14ac:dyDescent="0.35">
      <c r="A122" s="525" t="s">
        <v>193</v>
      </c>
      <c r="B122" s="526"/>
      <c r="C122" s="526"/>
      <c r="D122" s="526"/>
      <c r="E122" s="527"/>
    </row>
    <row r="123" spans="1:5" ht="14.4" thickBot="1" x14ac:dyDescent="0.35">
      <c r="A123" s="531" t="s">
        <v>194</v>
      </c>
      <c r="B123" s="532"/>
      <c r="C123" s="533"/>
      <c r="D123" s="98" t="s">
        <v>129</v>
      </c>
      <c r="E123" s="107" t="s">
        <v>130</v>
      </c>
    </row>
    <row r="124" spans="1:5" x14ac:dyDescent="0.3">
      <c r="A124" s="66" t="s">
        <v>131</v>
      </c>
      <c r="B124" s="521" t="s">
        <v>195</v>
      </c>
      <c r="C124" s="522"/>
      <c r="D124" s="2">
        <v>3</v>
      </c>
      <c r="E124" s="3"/>
    </row>
    <row r="125" spans="1:5" x14ac:dyDescent="0.3">
      <c r="A125" s="69" t="s">
        <v>133</v>
      </c>
      <c r="B125" s="523" t="s">
        <v>196</v>
      </c>
      <c r="C125" s="524"/>
      <c r="D125" s="4">
        <v>3</v>
      </c>
      <c r="E125" s="5"/>
    </row>
    <row r="126" spans="1:5" ht="14.4" thickBot="1" x14ac:dyDescent="0.35">
      <c r="A126" s="75" t="s">
        <v>135</v>
      </c>
      <c r="B126" s="514" t="s">
        <v>197</v>
      </c>
      <c r="C126" s="515"/>
      <c r="D126" s="6">
        <v>2</v>
      </c>
      <c r="E126" s="7"/>
    </row>
    <row r="127" spans="1:5" ht="14.4" thickBot="1" x14ac:dyDescent="0.35">
      <c r="A127" s="519" t="s">
        <v>137</v>
      </c>
      <c r="B127" s="520"/>
      <c r="C127" s="520"/>
      <c r="D127" s="105">
        <f>SUM(D124:D126)</f>
        <v>8</v>
      </c>
      <c r="E127" s="108">
        <f>SUM(E124:E126)</f>
        <v>0</v>
      </c>
    </row>
    <row r="128" spans="1:5" ht="16.350000000000001" customHeight="1" thickBot="1" x14ac:dyDescent="0.35">
      <c r="A128" s="544" t="s">
        <v>198</v>
      </c>
      <c r="B128" s="545"/>
      <c r="C128" s="545"/>
      <c r="D128" s="113">
        <f>D127</f>
        <v>8</v>
      </c>
      <c r="E128" s="113">
        <f>E127</f>
        <v>0</v>
      </c>
    </row>
    <row r="129" spans="1:5" ht="16.2" thickBot="1" x14ac:dyDescent="0.35">
      <c r="A129" s="491" t="s">
        <v>199</v>
      </c>
      <c r="B129" s="492"/>
      <c r="C129" s="493"/>
      <c r="D129" s="147">
        <f>SUM(D128,D117,D95,D73,D43)</f>
        <v>104</v>
      </c>
      <c r="E129" s="147">
        <f>SUM(E128,E117,E95,E73,E43)</f>
        <v>0</v>
      </c>
    </row>
    <row r="130" spans="1:5" ht="14.55" customHeight="1" thickBot="1" x14ac:dyDescent="0.35">
      <c r="A130" s="541" t="s">
        <v>145</v>
      </c>
      <c r="B130" s="542"/>
      <c r="C130" s="542"/>
      <c r="D130" s="542"/>
      <c r="E130" s="543"/>
    </row>
    <row r="131" spans="1:5" ht="65.099999999999994" customHeight="1" thickBot="1" x14ac:dyDescent="0.35">
      <c r="A131" s="102" t="s">
        <v>129</v>
      </c>
      <c r="B131" s="497"/>
      <c r="C131" s="497"/>
      <c r="D131" s="497"/>
      <c r="E131" s="497"/>
    </row>
    <row r="132" spans="1:5" ht="65.099999999999994" customHeight="1" thickBot="1" x14ac:dyDescent="0.35">
      <c r="A132" s="106" t="s">
        <v>130</v>
      </c>
      <c r="B132" s="497"/>
      <c r="C132" s="497"/>
      <c r="D132" s="497"/>
      <c r="E132" s="497"/>
    </row>
    <row r="133" spans="1:5" ht="10.35" customHeight="1" thickBot="1" x14ac:dyDescent="0.35">
      <c r="A133" s="16"/>
      <c r="B133" s="16"/>
      <c r="C133" s="16"/>
      <c r="D133" s="17"/>
      <c r="E133" s="17"/>
    </row>
    <row r="134" spans="1:5" ht="14.4" thickBot="1" x14ac:dyDescent="0.35">
      <c r="A134" s="510" t="s">
        <v>200</v>
      </c>
      <c r="B134" s="511"/>
      <c r="C134" s="511"/>
      <c r="D134" s="511"/>
      <c r="E134" s="512"/>
    </row>
    <row r="135" spans="1:5" ht="14.4" thickBot="1" x14ac:dyDescent="0.35">
      <c r="A135" s="498" t="s">
        <v>201</v>
      </c>
      <c r="B135" s="499"/>
      <c r="C135" s="499"/>
      <c r="D135" s="499"/>
      <c r="E135" s="500"/>
    </row>
    <row r="136" spans="1:5" ht="65.099999999999994" customHeight="1" thickBot="1" x14ac:dyDescent="0.35">
      <c r="A136" s="102" t="s">
        <v>129</v>
      </c>
      <c r="B136" s="497"/>
      <c r="C136" s="497"/>
      <c r="D136" s="497"/>
      <c r="E136" s="497"/>
    </row>
    <row r="137" spans="1:5" ht="65.099999999999994" customHeight="1" thickBot="1" x14ac:dyDescent="0.35">
      <c r="A137" s="106" t="s">
        <v>130</v>
      </c>
      <c r="B137" s="497"/>
      <c r="C137" s="497"/>
      <c r="D137" s="497"/>
      <c r="E137" s="497"/>
    </row>
    <row r="138" spans="1:5" ht="14.4" thickBot="1" x14ac:dyDescent="0.35">
      <c r="A138" s="498" t="s">
        <v>202</v>
      </c>
      <c r="B138" s="499"/>
      <c r="C138" s="499"/>
      <c r="D138" s="499"/>
      <c r="E138" s="500"/>
    </row>
    <row r="139" spans="1:5" ht="65.099999999999994" customHeight="1" thickBot="1" x14ac:dyDescent="0.35">
      <c r="A139" s="102" t="s">
        <v>129</v>
      </c>
      <c r="B139" s="497"/>
      <c r="C139" s="497"/>
      <c r="D139" s="497"/>
      <c r="E139" s="497"/>
    </row>
    <row r="140" spans="1:5" ht="65.099999999999994" customHeight="1" thickBot="1" x14ac:dyDescent="0.35">
      <c r="A140" s="106" t="s">
        <v>130</v>
      </c>
      <c r="B140" s="497"/>
      <c r="C140" s="497"/>
      <c r="D140" s="497"/>
      <c r="E140" s="497"/>
    </row>
    <row r="141" spans="1:5" ht="14.4" thickBot="1" x14ac:dyDescent="0.35">
      <c r="A141" s="498" t="s">
        <v>203</v>
      </c>
      <c r="B141" s="499"/>
      <c r="C141" s="499"/>
      <c r="D141" s="499"/>
      <c r="E141" s="500"/>
    </row>
    <row r="142" spans="1:5" ht="65.099999999999994" customHeight="1" thickBot="1" x14ac:dyDescent="0.35">
      <c r="A142" s="102" t="s">
        <v>129</v>
      </c>
      <c r="B142" s="497"/>
      <c r="C142" s="497"/>
      <c r="D142" s="497"/>
      <c r="E142" s="497"/>
    </row>
    <row r="143" spans="1:5" ht="65.099999999999994" customHeight="1" thickBot="1" x14ac:dyDescent="0.35">
      <c r="A143" s="106" t="s">
        <v>130</v>
      </c>
      <c r="B143" s="497"/>
      <c r="C143" s="497"/>
      <c r="D143" s="497"/>
      <c r="E143" s="497"/>
    </row>
    <row r="144" spans="1:5" ht="14.4" thickBot="1" x14ac:dyDescent="0.35">
      <c r="A144" s="498" t="s">
        <v>204</v>
      </c>
      <c r="B144" s="499"/>
      <c r="C144" s="499"/>
      <c r="D144" s="499"/>
      <c r="E144" s="500"/>
    </row>
    <row r="145" spans="1:5" ht="65.099999999999994" customHeight="1" thickBot="1" x14ac:dyDescent="0.35">
      <c r="A145" s="102" t="s">
        <v>129</v>
      </c>
      <c r="B145" s="497"/>
      <c r="C145" s="497"/>
      <c r="D145" s="497"/>
      <c r="E145" s="497"/>
    </row>
    <row r="146" spans="1:5" ht="65.099999999999994" customHeight="1" thickBot="1" x14ac:dyDescent="0.35">
      <c r="A146" s="106" t="s">
        <v>130</v>
      </c>
      <c r="B146" s="497"/>
      <c r="C146" s="497"/>
      <c r="D146" s="497"/>
      <c r="E146" s="497"/>
    </row>
    <row r="147" spans="1:5" ht="14.4" thickBot="1" x14ac:dyDescent="0.35">
      <c r="A147" s="498" t="s">
        <v>205</v>
      </c>
      <c r="B147" s="499"/>
      <c r="C147" s="499"/>
      <c r="D147" s="499"/>
      <c r="E147" s="500"/>
    </row>
    <row r="148" spans="1:5" ht="65.099999999999994" customHeight="1" thickBot="1" x14ac:dyDescent="0.35">
      <c r="A148" s="102" t="s">
        <v>129</v>
      </c>
      <c r="B148" s="497"/>
      <c r="C148" s="497"/>
      <c r="D148" s="497"/>
      <c r="E148" s="497"/>
    </row>
    <row r="149" spans="1:5" ht="65.099999999999994" customHeight="1" thickBot="1" x14ac:dyDescent="0.35">
      <c r="A149" s="106" t="s">
        <v>130</v>
      </c>
      <c r="B149" s="497"/>
      <c r="C149" s="497"/>
      <c r="D149" s="497"/>
      <c r="E149" s="497"/>
    </row>
    <row r="150" spans="1:5" ht="10.35" customHeight="1" thickBot="1" x14ac:dyDescent="0.35">
      <c r="A150" s="16"/>
      <c r="B150" s="16"/>
      <c r="C150" s="16"/>
      <c r="D150" s="17"/>
      <c r="E150" s="17"/>
    </row>
    <row r="151" spans="1:5" ht="20.100000000000001" customHeight="1" thickBot="1" x14ac:dyDescent="0.35">
      <c r="A151" s="498" t="s">
        <v>206</v>
      </c>
      <c r="B151" s="504"/>
      <c r="C151" s="504"/>
      <c r="D151" s="504"/>
      <c r="E151" s="505"/>
    </row>
    <row r="152" spans="1:5" ht="14.55" customHeight="1" x14ac:dyDescent="0.3">
      <c r="A152" s="506" t="s">
        <v>129</v>
      </c>
      <c r="B152" s="116" t="s">
        <v>207</v>
      </c>
      <c r="C152" s="555" t="str">
        <f>C9</f>
        <v>AFRICA</v>
      </c>
      <c r="D152" s="571"/>
      <c r="E152" s="161" t="str">
        <f>E9</f>
        <v>CHARMAINE PAIGE</v>
      </c>
    </row>
    <row r="153" spans="1:5" ht="30" customHeight="1" thickBot="1" x14ac:dyDescent="0.35">
      <c r="A153" s="507"/>
      <c r="B153" s="162" t="s">
        <v>208</v>
      </c>
      <c r="C153" s="489"/>
      <c r="D153" s="490"/>
      <c r="E153" s="158"/>
    </row>
    <row r="154" spans="1:5" ht="14.55" customHeight="1" x14ac:dyDescent="0.3">
      <c r="A154" s="507"/>
      <c r="B154" s="115" t="s">
        <v>209</v>
      </c>
      <c r="C154" s="555" t="str">
        <f>C15</f>
        <v>SNYMAN</v>
      </c>
      <c r="D154" s="571"/>
      <c r="E154" s="161" t="str">
        <f>E15</f>
        <v>MELENIE</v>
      </c>
    </row>
    <row r="155" spans="1:5" ht="30" customHeight="1" thickBot="1" x14ac:dyDescent="0.35">
      <c r="A155" s="507"/>
      <c r="B155" s="162" t="s">
        <v>208</v>
      </c>
      <c r="C155" s="489"/>
      <c r="D155" s="490"/>
      <c r="E155" s="158"/>
    </row>
    <row r="156" spans="1:5" ht="14.55" customHeight="1" x14ac:dyDescent="0.3">
      <c r="A156" s="507"/>
      <c r="B156" s="116" t="s">
        <v>210</v>
      </c>
      <c r="C156" s="574"/>
      <c r="D156" s="575"/>
      <c r="E156" s="148"/>
    </row>
    <row r="157" spans="1:5" ht="30" customHeight="1" thickBot="1" x14ac:dyDescent="0.35">
      <c r="A157" s="507"/>
      <c r="B157" s="162" t="s">
        <v>208</v>
      </c>
      <c r="C157" s="489"/>
      <c r="D157" s="490"/>
      <c r="E157" s="158"/>
    </row>
    <row r="158" spans="1:5" x14ac:dyDescent="0.3">
      <c r="A158" s="507"/>
      <c r="B158" s="163" t="s">
        <v>211</v>
      </c>
      <c r="C158" s="555" t="str">
        <f>E20</f>
        <v>MS D. MARTIN</v>
      </c>
      <c r="D158" s="556"/>
      <c r="E158" s="557"/>
    </row>
    <row r="159" spans="1:5" ht="30" customHeight="1" thickBot="1" x14ac:dyDescent="0.35">
      <c r="A159" s="508"/>
      <c r="B159" s="162" t="s">
        <v>208</v>
      </c>
      <c r="C159" s="489"/>
      <c r="D159" s="490"/>
      <c r="E159" s="158"/>
    </row>
    <row r="160" spans="1:5" ht="10.35" customHeight="1" thickBot="1" x14ac:dyDescent="0.35">
      <c r="A160" s="513"/>
      <c r="B160" s="578"/>
      <c r="C160" s="558"/>
      <c r="D160" s="558"/>
      <c r="E160" s="558"/>
    </row>
    <row r="161" spans="1:5" ht="14.55" customHeight="1" x14ac:dyDescent="0.3">
      <c r="A161" s="501" t="s">
        <v>130</v>
      </c>
      <c r="B161" s="164" t="s">
        <v>207</v>
      </c>
      <c r="C161" s="555" t="str">
        <f>C9</f>
        <v>AFRICA</v>
      </c>
      <c r="D161" s="571"/>
      <c r="E161" s="161" t="str">
        <f>E9</f>
        <v>CHARMAINE PAIGE</v>
      </c>
    </row>
    <row r="162" spans="1:5" ht="30" customHeight="1" thickBot="1" x14ac:dyDescent="0.35">
      <c r="A162" s="502"/>
      <c r="B162" s="165" t="s">
        <v>208</v>
      </c>
      <c r="C162" s="489"/>
      <c r="D162" s="490"/>
      <c r="E162" s="158"/>
    </row>
    <row r="163" spans="1:5" x14ac:dyDescent="0.3">
      <c r="A163" s="502"/>
      <c r="B163" s="166" t="s">
        <v>209</v>
      </c>
      <c r="C163" s="555" t="str">
        <f>C15</f>
        <v>SNYMAN</v>
      </c>
      <c r="D163" s="571"/>
      <c r="E163" s="161" t="str">
        <f>E15</f>
        <v>MELENIE</v>
      </c>
    </row>
    <row r="164" spans="1:5" ht="30" customHeight="1" thickBot="1" x14ac:dyDescent="0.35">
      <c r="A164" s="502"/>
      <c r="B164" s="165" t="s">
        <v>208</v>
      </c>
      <c r="C164" s="489"/>
      <c r="D164" s="490"/>
      <c r="E164" s="158"/>
    </row>
    <row r="165" spans="1:5" ht="14.55" customHeight="1" x14ac:dyDescent="0.3">
      <c r="A165" s="502"/>
      <c r="B165" s="164" t="s">
        <v>210</v>
      </c>
      <c r="C165" s="574"/>
      <c r="D165" s="575"/>
      <c r="E165" s="148"/>
    </row>
    <row r="166" spans="1:5" ht="30" customHeight="1" thickBot="1" x14ac:dyDescent="0.35">
      <c r="A166" s="502"/>
      <c r="B166" s="165" t="s">
        <v>208</v>
      </c>
      <c r="C166" s="489"/>
      <c r="D166" s="490"/>
      <c r="E166" s="158"/>
    </row>
    <row r="167" spans="1:5" x14ac:dyDescent="0.3">
      <c r="A167" s="502"/>
      <c r="B167" s="167" t="s">
        <v>211</v>
      </c>
      <c r="C167" s="555" t="str">
        <f>E20</f>
        <v>MS D. MARTIN</v>
      </c>
      <c r="D167" s="556"/>
      <c r="E167" s="557"/>
    </row>
    <row r="168" spans="1:5" ht="30" customHeight="1" thickBot="1" x14ac:dyDescent="0.35">
      <c r="A168" s="503"/>
      <c r="B168" s="165" t="s">
        <v>208</v>
      </c>
      <c r="C168" s="509"/>
      <c r="D168" s="490"/>
      <c r="E168" s="158"/>
    </row>
    <row r="169" spans="1:5" x14ac:dyDescent="0.3">
      <c r="A169" s="487" t="s">
        <v>212</v>
      </c>
      <c r="B169" s="487"/>
      <c r="C169" s="487"/>
      <c r="D169" s="487"/>
      <c r="E169" s="487"/>
    </row>
    <row r="170" spans="1:5" ht="22.5" customHeight="1" x14ac:dyDescent="0.3">
      <c r="A170" s="16"/>
      <c r="B170" s="16"/>
      <c r="C170" s="16"/>
      <c r="D170" s="17"/>
      <c r="E170" s="17"/>
    </row>
    <row r="171" spans="1:5" ht="26.25" customHeight="1" x14ac:dyDescent="0.3">
      <c r="A171" s="16"/>
      <c r="B171" s="16"/>
      <c r="C171" s="16"/>
      <c r="D171" s="17"/>
      <c r="E171" s="17"/>
    </row>
    <row r="172" spans="1:5" ht="26.25" customHeight="1" x14ac:dyDescent="0.3">
      <c r="A172" s="16"/>
      <c r="B172" s="16"/>
      <c r="C172" s="16"/>
      <c r="D172" s="17"/>
      <c r="E172" s="17"/>
    </row>
    <row r="173" spans="1:5" ht="26.25" customHeight="1" x14ac:dyDescent="0.3">
      <c r="A173" s="16"/>
      <c r="B173" s="16"/>
      <c r="C173" s="16"/>
      <c r="D173" s="17"/>
      <c r="E173" s="17"/>
    </row>
    <row r="174" spans="1:5" ht="26.25" customHeight="1" x14ac:dyDescent="0.3">
      <c r="A174" s="16"/>
      <c r="B174" s="16"/>
      <c r="C174" s="16"/>
      <c r="D174" s="17"/>
      <c r="E174" s="17"/>
    </row>
  </sheetData>
  <sheetProtection algorithmName="SHA-512" hashValue="Q9KtP8Ayxra/Sk7rphDd+L+ayUSGUn+jGTePlaMQaNZ6gYV91D2NSLhxH8j/qKXQYTyEab/eoXze/QxkzbpELg==" saltValue="wQo7iffmj04udhxW+G2zRQ==" spinCount="100000" sheet="1" objects="1" scenarios="1"/>
  <dataConsolidate/>
  <mergeCells count="162">
    <mergeCell ref="A16:B16"/>
    <mergeCell ref="A19:B19"/>
    <mergeCell ref="A91:C91"/>
    <mergeCell ref="A79:E79"/>
    <mergeCell ref="A128:C128"/>
    <mergeCell ref="A147:E147"/>
    <mergeCell ref="A3:E3"/>
    <mergeCell ref="A4:E4"/>
    <mergeCell ref="A6:E6"/>
    <mergeCell ref="A20:B20"/>
    <mergeCell ref="A21:B21"/>
    <mergeCell ref="A24:B24"/>
    <mergeCell ref="A25:B25"/>
    <mergeCell ref="A23:E23"/>
    <mergeCell ref="A18:E18"/>
    <mergeCell ref="A14:E14"/>
    <mergeCell ref="A8:E8"/>
    <mergeCell ref="A27:E27"/>
    <mergeCell ref="D12:E12"/>
    <mergeCell ref="A9:B9"/>
    <mergeCell ref="A10:B10"/>
    <mergeCell ref="A11:B11"/>
    <mergeCell ref="A12:C12"/>
    <mergeCell ref="A15:B15"/>
    <mergeCell ref="C167:E167"/>
    <mergeCell ref="C163:D163"/>
    <mergeCell ref="C161:D161"/>
    <mergeCell ref="A96:C96"/>
    <mergeCell ref="C154:D154"/>
    <mergeCell ref="C152:D152"/>
    <mergeCell ref="C156:D156"/>
    <mergeCell ref="C165:D165"/>
    <mergeCell ref="A62:C62"/>
    <mergeCell ref="A72:C72"/>
    <mergeCell ref="A73:C73"/>
    <mergeCell ref="A84:C84"/>
    <mergeCell ref="A89:C89"/>
    <mergeCell ref="A95:C95"/>
    <mergeCell ref="A64:C64"/>
    <mergeCell ref="B70:C70"/>
    <mergeCell ref="B125:C125"/>
    <mergeCell ref="B126:C126"/>
    <mergeCell ref="A90:E90"/>
    <mergeCell ref="A80:B80"/>
    <mergeCell ref="B139:E139"/>
    <mergeCell ref="B140:E140"/>
    <mergeCell ref="B112:C112"/>
    <mergeCell ref="A160:E160"/>
    <mergeCell ref="A29:E29"/>
    <mergeCell ref="A36:E36"/>
    <mergeCell ref="A48:E48"/>
    <mergeCell ref="A63:E63"/>
    <mergeCell ref="A68:E68"/>
    <mergeCell ref="A31:C31"/>
    <mergeCell ref="B38:C38"/>
    <mergeCell ref="B39:C39"/>
    <mergeCell ref="B40:C40"/>
    <mergeCell ref="A35:C35"/>
    <mergeCell ref="B34:C34"/>
    <mergeCell ref="A37:C37"/>
    <mergeCell ref="A54:C54"/>
    <mergeCell ref="B58:C58"/>
    <mergeCell ref="B59:C59"/>
    <mergeCell ref="B60:C60"/>
    <mergeCell ref="A42:C42"/>
    <mergeCell ref="A43:C43"/>
    <mergeCell ref="A28:E28"/>
    <mergeCell ref="B32:C32"/>
    <mergeCell ref="B33:C33"/>
    <mergeCell ref="B41:C41"/>
    <mergeCell ref="B65:C65"/>
    <mergeCell ref="B66:C66"/>
    <mergeCell ref="C158:E158"/>
    <mergeCell ref="A55:E55"/>
    <mergeCell ref="A74:E74"/>
    <mergeCell ref="B75:E75"/>
    <mergeCell ref="A44:E44"/>
    <mergeCell ref="B45:E45"/>
    <mergeCell ref="B46:E46"/>
    <mergeCell ref="B148:E148"/>
    <mergeCell ref="B149:E149"/>
    <mergeCell ref="A118:E118"/>
    <mergeCell ref="B99:E99"/>
    <mergeCell ref="A100:E100"/>
    <mergeCell ref="A101:E101"/>
    <mergeCell ref="A108:E108"/>
    <mergeCell ref="B104:C104"/>
    <mergeCell ref="B105:C105"/>
    <mergeCell ref="B106:C106"/>
    <mergeCell ref="A103:C103"/>
    <mergeCell ref="B142:E142"/>
    <mergeCell ref="A138:E138"/>
    <mergeCell ref="A121:E121"/>
    <mergeCell ref="A123:C123"/>
    <mergeCell ref="B98:E98"/>
    <mergeCell ref="B81:C81"/>
    <mergeCell ref="B131:E131"/>
    <mergeCell ref="A49:E49"/>
    <mergeCell ref="B51:C51"/>
    <mergeCell ref="B52:C52"/>
    <mergeCell ref="B53:C53"/>
    <mergeCell ref="B57:C57"/>
    <mergeCell ref="B115:C115"/>
    <mergeCell ref="A109:C109"/>
    <mergeCell ref="A102:E102"/>
    <mergeCell ref="B110:C110"/>
    <mergeCell ref="B111:C111"/>
    <mergeCell ref="A122:E122"/>
    <mergeCell ref="A130:E130"/>
    <mergeCell ref="B124:C124"/>
    <mergeCell ref="A117:C117"/>
    <mergeCell ref="A127:C127"/>
    <mergeCell ref="B71:C71"/>
    <mergeCell ref="A85:E85"/>
    <mergeCell ref="A134:E134"/>
    <mergeCell ref="A135:E135"/>
    <mergeCell ref="A47:E47"/>
    <mergeCell ref="B61:C61"/>
    <mergeCell ref="A56:C56"/>
    <mergeCell ref="B119:E119"/>
    <mergeCell ref="B120:E120"/>
    <mergeCell ref="A107:C107"/>
    <mergeCell ref="A116:C116"/>
    <mergeCell ref="B92:C92"/>
    <mergeCell ref="B93:C93"/>
    <mergeCell ref="B82:C82"/>
    <mergeCell ref="B83:C83"/>
    <mergeCell ref="B87:C87"/>
    <mergeCell ref="B88:C88"/>
    <mergeCell ref="A86:C86"/>
    <mergeCell ref="B113:C113"/>
    <mergeCell ref="B114:C114"/>
    <mergeCell ref="B76:E76"/>
    <mergeCell ref="A78:E78"/>
    <mergeCell ref="A67:C67"/>
    <mergeCell ref="A94:C94"/>
    <mergeCell ref="A97:E97"/>
    <mergeCell ref="A77:E77"/>
    <mergeCell ref="A169:E169"/>
    <mergeCell ref="A2:E2"/>
    <mergeCell ref="C166:D166"/>
    <mergeCell ref="C164:D164"/>
    <mergeCell ref="C162:D162"/>
    <mergeCell ref="A129:C129"/>
    <mergeCell ref="A50:C50"/>
    <mergeCell ref="A69:C69"/>
    <mergeCell ref="C153:D153"/>
    <mergeCell ref="C155:D155"/>
    <mergeCell ref="C157:D157"/>
    <mergeCell ref="C159:D159"/>
    <mergeCell ref="B146:E146"/>
    <mergeCell ref="B143:E143"/>
    <mergeCell ref="B145:E145"/>
    <mergeCell ref="A144:E144"/>
    <mergeCell ref="A161:A168"/>
    <mergeCell ref="A151:E151"/>
    <mergeCell ref="A152:A159"/>
    <mergeCell ref="C168:D168"/>
    <mergeCell ref="A141:E141"/>
    <mergeCell ref="B132:E132"/>
    <mergeCell ref="B136:E136"/>
    <mergeCell ref="B137:E137"/>
  </mergeCells>
  <conditionalFormatting sqref="D32:E34">
    <cfRule type="expression" dxfId="26" priority="27">
      <formula>$A32="X"</formula>
    </cfRule>
  </conditionalFormatting>
  <conditionalFormatting sqref="D38:E41">
    <cfRule type="expression" dxfId="25" priority="25">
      <formula>$A38="X"</formula>
    </cfRule>
  </conditionalFormatting>
  <conditionalFormatting sqref="D51:E53">
    <cfRule type="expression" dxfId="24" priority="23">
      <formula>$A51="X"</formula>
    </cfRule>
  </conditionalFormatting>
  <conditionalFormatting sqref="D57:E61">
    <cfRule type="expression" dxfId="23" priority="21">
      <formula>$A57="X"</formula>
    </cfRule>
  </conditionalFormatting>
  <conditionalFormatting sqref="D65:E66">
    <cfRule type="expression" dxfId="22" priority="19">
      <formula>$A65="X"</formula>
    </cfRule>
  </conditionalFormatting>
  <conditionalFormatting sqref="D70:E71">
    <cfRule type="expression" dxfId="21" priority="17">
      <formula>$A70="X"</formula>
    </cfRule>
  </conditionalFormatting>
  <conditionalFormatting sqref="D81:E83">
    <cfRule type="expression" dxfId="20" priority="15">
      <formula>$A81="X"</formula>
    </cfRule>
  </conditionalFormatting>
  <conditionalFormatting sqref="D87:E88">
    <cfRule type="expression" dxfId="19" priority="13">
      <formula>$A87="X"</formula>
    </cfRule>
  </conditionalFormatting>
  <conditionalFormatting sqref="D92:E93">
    <cfRule type="expression" dxfId="18" priority="11">
      <formula>$A92="X"</formula>
    </cfRule>
  </conditionalFormatting>
  <conditionalFormatting sqref="D104:E106">
    <cfRule type="expression" dxfId="17" priority="9">
      <formula>$A104="X"</formula>
    </cfRule>
  </conditionalFormatting>
  <conditionalFormatting sqref="D110:E115">
    <cfRule type="expression" dxfId="16" priority="7">
      <formula>$A110="X"</formula>
    </cfRule>
  </conditionalFormatting>
  <conditionalFormatting sqref="D124:E126">
    <cfRule type="expression" dxfId="15" priority="5">
      <formula>$A124="X"</formula>
    </cfRule>
  </conditionalFormatting>
  <conditionalFormatting sqref="E32:E34">
    <cfRule type="expression" priority="26">
      <formula>$A32=""</formula>
    </cfRule>
  </conditionalFormatting>
  <conditionalFormatting sqref="E38:E41">
    <cfRule type="expression" priority="24">
      <formula>$A38=""</formula>
    </cfRule>
  </conditionalFormatting>
  <conditionalFormatting sqref="E51:E53">
    <cfRule type="expression" priority="22">
      <formula>$A51=""</formula>
    </cfRule>
  </conditionalFormatting>
  <conditionalFormatting sqref="E57:E61">
    <cfRule type="expression" priority="20">
      <formula>$A57=""</formula>
    </cfRule>
  </conditionalFormatting>
  <conditionalFormatting sqref="E65:E66">
    <cfRule type="expression" priority="18">
      <formula>$A65=""</formula>
    </cfRule>
  </conditionalFormatting>
  <conditionalFormatting sqref="E70:E71">
    <cfRule type="expression" priority="16">
      <formula>$A70=""</formula>
    </cfRule>
  </conditionalFormatting>
  <conditionalFormatting sqref="E81:E83">
    <cfRule type="expression" priority="14">
      <formula>$A81=""</formula>
    </cfRule>
  </conditionalFormatting>
  <conditionalFormatting sqref="E87:E88">
    <cfRule type="expression" priority="12">
      <formula>$A87=""</formula>
    </cfRule>
  </conditionalFormatting>
  <conditionalFormatting sqref="E92:E93">
    <cfRule type="expression" priority="10">
      <formula>$A92=""</formula>
    </cfRule>
  </conditionalFormatting>
  <conditionalFormatting sqref="E104:E106">
    <cfRule type="expression" priority="8">
      <formula>$A104=""</formula>
    </cfRule>
  </conditionalFormatting>
  <conditionalFormatting sqref="E110:E115">
    <cfRule type="expression" priority="6">
      <formula>$A110=""</formula>
    </cfRule>
  </conditionalFormatting>
  <conditionalFormatting sqref="E124:E126">
    <cfRule type="expression" priority="4">
      <formula>$A124=""</formula>
    </cfRule>
  </conditionalFormatting>
  <dataValidations xWindow="796" yWindow="444" count="1">
    <dataValidation type="list" allowBlank="1" showInputMessage="1" showErrorMessage="1" promptTitle="Criteria " prompt="1=Unacceptable _x000a_2=Acceptable_x000a_3=Good_x000a_4=Outstanding" sqref="D124:E126 D104:E106 D110:E115" xr:uid="{00000000-0002-0000-0100-000000000000}">
      <formula1>"1,2,3,4"</formula1>
    </dataValidation>
  </dataValidations>
  <pageMargins left="0.31496062992125984" right="0.31496062992125984" top="0.35433070866141736" bottom="0.35433070866141736" header="0.31496062992125984" footer="0.31496062992125984"/>
  <pageSetup paperSize="9" scale="81" fitToHeight="4" orientation="portrait" r:id="rId1"/>
  <rowBreaks count="1" manualBreakCount="1">
    <brk id="140" max="4" man="1"/>
  </rowBreaks>
  <extLst>
    <ext xmlns:x14="http://schemas.microsoft.com/office/spreadsheetml/2009/9/main" uri="{78C0D931-6437-407d-A8EE-F0AAD7539E65}">
      <x14:conditionalFormattings>
        <x14:conditionalFormatting xmlns:xm="http://schemas.microsoft.com/office/excel/2006/main">
          <x14:cfRule type="cellIs" priority="1" operator="equal" id="{A86763B2-F725-4B06-8053-497937BE76A6}">
            <xm:f>LISTS!$E$3</xm:f>
            <x14:dxf>
              <font>
                <color theme="1"/>
              </font>
              <fill>
                <patternFill>
                  <bgColor theme="6" tint="0.39994506668294322"/>
                </patternFill>
              </fill>
            </x14:dxf>
          </x14:cfRule>
          <x14:cfRule type="cellIs" priority="3" operator="equal" id="{F05C8CAF-351A-4BAC-9167-6B47471E315F}">
            <xm:f>LISTS!$E$2</xm:f>
            <x14:dxf>
              <font>
                <color rgb="FFC00000"/>
              </font>
              <fill>
                <patternFill>
                  <bgColor rgb="FFFFFF00"/>
                </patternFill>
              </fill>
            </x14:dxf>
          </x14:cfRule>
          <xm:sqref>A3</xm:sqref>
        </x14:conditionalFormatting>
      </x14:conditionalFormattings>
    </ext>
    <ext xmlns:x14="http://schemas.microsoft.com/office/spreadsheetml/2009/9/main" uri="{CCE6A557-97BC-4b89-ADB6-D9C93CAAB3DF}">
      <x14:dataValidations xmlns:xm="http://schemas.microsoft.com/office/excel/2006/main" xWindow="796" yWindow="444" count="4">
        <x14:dataValidation type="list" allowBlank="1" showInputMessage="1" showErrorMessage="1" xr:uid="{ACF03F55-CBA0-4D73-979F-50B2EF798FBD}">
          <x14:formula1>
            <xm:f>LISTS!$C$3:$C$5</xm:f>
          </x14:formula1>
          <xm:sqref>C10</xm:sqref>
        </x14:dataValidation>
        <x14:dataValidation type="list" allowBlank="1" showInputMessage="1" showErrorMessage="1" xr:uid="{816CE879-E81E-4244-82C0-2D94DEC6B5FA}">
          <x14:formula1>
            <xm:f>LISTS!$C$6:$C$11</xm:f>
          </x14:formula1>
          <xm:sqref>C16</xm:sqref>
        </x14:dataValidation>
        <x14:dataValidation type="list" allowBlank="1" showInputMessage="1" showErrorMessage="1" xr:uid="{24E5EE44-30E7-4C19-A791-5C217255AB44}">
          <x14:formula1>
            <xm:f>LISTS!$D$3:$D$10</xm:f>
          </x14:formula1>
          <xm:sqref>C20</xm:sqref>
        </x14:dataValidation>
        <x14:dataValidation type="list" allowBlank="1" showInputMessage="1" showErrorMessage="1" promptTitle="Self-appraisal by the educator" prompt="An educator must conduct a self-appraisal prior to the appraisal by his/her supervisor." xr:uid="{44CD574D-CF18-4CA5-A550-9DF24CA0DAE2}">
          <x14:formula1>
            <xm:f>LISTS!$E$2:$E$3</xm:f>
          </x14:formula1>
          <xm:sqref>A3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CACE5-0400-4EBF-BF7D-DC2653F40ACD}">
  <sheetPr>
    <tabColor theme="8"/>
  </sheetPr>
  <dimension ref="B1:R72"/>
  <sheetViews>
    <sheetView view="pageBreakPreview" topLeftCell="A43" zoomScale="110" zoomScaleNormal="110" zoomScaleSheetLayoutView="110" workbookViewId="0">
      <selection activeCell="E52" sqref="E52:E53"/>
    </sheetView>
  </sheetViews>
  <sheetFormatPr defaultColWidth="8.77734375" defaultRowHeight="15" x14ac:dyDescent="0.3"/>
  <cols>
    <col min="1" max="1" width="8.77734375" style="15"/>
    <col min="2" max="2" width="3.5546875" style="14" customWidth="1"/>
    <col min="3" max="3" width="35.77734375" style="15" customWidth="1"/>
    <col min="4" max="4" width="10.5546875" style="15" customWidth="1"/>
    <col min="5" max="5" width="40.77734375" style="15" customWidth="1"/>
    <col min="6" max="6" width="10.5546875" style="15" customWidth="1"/>
    <col min="7" max="7" width="40.77734375" style="15" customWidth="1"/>
    <col min="8" max="16" width="3.77734375" style="15" customWidth="1"/>
    <col min="17" max="16384" width="8.77734375" style="15"/>
  </cols>
  <sheetData>
    <row r="1" spans="2:18" ht="15.6" thickBot="1" x14ac:dyDescent="0.35"/>
    <row r="2" spans="2:18" ht="18" thickBot="1" x14ac:dyDescent="0.35">
      <c r="B2" s="326" t="s">
        <v>213</v>
      </c>
      <c r="C2" s="327"/>
      <c r="D2" s="327"/>
      <c r="E2" s="327"/>
      <c r="F2" s="327"/>
      <c r="G2" s="328"/>
    </row>
    <row r="3" spans="2:18" ht="18" thickBot="1" x14ac:dyDescent="0.35">
      <c r="B3" s="329" t="s">
        <v>214</v>
      </c>
      <c r="C3" s="330"/>
      <c r="D3" s="330"/>
      <c r="E3" s="330"/>
      <c r="F3" s="330" t="s">
        <v>215</v>
      </c>
      <c r="G3" s="331"/>
    </row>
    <row r="4" spans="2:18" ht="15.6" thickBot="1" x14ac:dyDescent="0.35"/>
    <row r="5" spans="2:18" s="16" customFormat="1" ht="15" customHeight="1" x14ac:dyDescent="0.3">
      <c r="B5" s="332" t="s">
        <v>216</v>
      </c>
      <c r="C5" s="333"/>
      <c r="D5" s="334"/>
      <c r="E5" s="77" t="str">
        <f>'Appraisal Instrument (A1) '!C9</f>
        <v>AFRICA</v>
      </c>
      <c r="F5" s="335" t="str">
        <f>'Appraisal Instrument (A1) '!E9</f>
        <v>CHARMAINE PAIGE</v>
      </c>
      <c r="G5" s="336"/>
    </row>
    <row r="6" spans="2:18" s="16" customFormat="1" ht="15" customHeight="1" x14ac:dyDescent="0.3">
      <c r="B6" s="299" t="s">
        <v>217</v>
      </c>
      <c r="C6" s="300"/>
      <c r="D6" s="301"/>
      <c r="E6" s="340">
        <f>'Appraisal Instrument (A1) '!E10</f>
        <v>50467948</v>
      </c>
      <c r="F6" s="341"/>
      <c r="G6" s="342"/>
    </row>
    <row r="7" spans="2:18" s="16" customFormat="1" ht="15" customHeight="1" x14ac:dyDescent="0.3">
      <c r="B7" s="299" t="s">
        <v>218</v>
      </c>
      <c r="C7" s="300"/>
      <c r="D7" s="301"/>
      <c r="E7" s="78" t="str">
        <f>'Appraisal Instrument (A1) '!C15</f>
        <v>SNYMAN</v>
      </c>
      <c r="F7" s="302" t="str">
        <f>'Appraisal Instrument (A1) '!E15</f>
        <v>MELENIE</v>
      </c>
      <c r="G7" s="303"/>
    </row>
    <row r="8" spans="2:18" s="16" customFormat="1" ht="15" customHeight="1" thickBot="1" x14ac:dyDescent="0.35">
      <c r="B8" s="304" t="s">
        <v>217</v>
      </c>
      <c r="C8" s="305"/>
      <c r="D8" s="306"/>
      <c r="E8" s="307">
        <f>'Appraisal Instrument (A1) '!E16</f>
        <v>50591070</v>
      </c>
      <c r="F8" s="308"/>
      <c r="G8" s="309"/>
    </row>
    <row r="9" spans="2:18" s="16" customFormat="1" ht="14.4" thickBot="1" x14ac:dyDescent="0.35">
      <c r="B9" s="17"/>
      <c r="C9" s="18"/>
      <c r="D9" s="18"/>
      <c r="E9" s="18"/>
      <c r="F9" s="18"/>
      <c r="G9" s="18"/>
    </row>
    <row r="10" spans="2:18" s="16" customFormat="1" ht="14.4" thickBot="1" x14ac:dyDescent="0.35">
      <c r="B10" s="17"/>
      <c r="C10" s="18"/>
      <c r="D10" s="18"/>
      <c r="E10" s="86" t="s">
        <v>129</v>
      </c>
      <c r="F10" s="343" t="s">
        <v>130</v>
      </c>
      <c r="G10" s="344"/>
    </row>
    <row r="11" spans="2:18" s="16" customFormat="1" ht="30" customHeight="1" x14ac:dyDescent="0.3">
      <c r="B11" s="310" t="s">
        <v>219</v>
      </c>
      <c r="C11" s="311"/>
      <c r="D11" s="311"/>
      <c r="E11" s="83" t="s">
        <v>2813</v>
      </c>
      <c r="F11" s="349"/>
      <c r="G11" s="350"/>
    </row>
    <row r="12" spans="2:18" s="16" customFormat="1" ht="30" customHeight="1" x14ac:dyDescent="0.3">
      <c r="B12" s="312" t="s">
        <v>220</v>
      </c>
      <c r="C12" s="313"/>
      <c r="D12" s="313"/>
      <c r="E12" s="84" t="s">
        <v>2814</v>
      </c>
      <c r="F12" s="347"/>
      <c r="G12" s="348"/>
    </row>
    <row r="13" spans="2:18" s="16" customFormat="1" ht="30" customHeight="1" thickBot="1" x14ac:dyDescent="0.35">
      <c r="B13" s="314" t="s">
        <v>221</v>
      </c>
      <c r="C13" s="315"/>
      <c r="D13" s="315"/>
      <c r="E13" s="85" t="s">
        <v>2815</v>
      </c>
      <c r="F13" s="345"/>
      <c r="G13" s="346"/>
    </row>
    <row r="14" spans="2:18" s="16" customFormat="1" ht="14.4" thickBot="1" x14ac:dyDescent="0.35">
      <c r="B14" s="17"/>
      <c r="L14" s="17"/>
    </row>
    <row r="15" spans="2:18" s="16" customFormat="1" ht="16.2" thickBot="1" x14ac:dyDescent="0.35">
      <c r="B15" s="318" t="s">
        <v>222</v>
      </c>
      <c r="C15" s="319"/>
      <c r="D15" s="319"/>
      <c r="E15" s="319" t="s">
        <v>223</v>
      </c>
      <c r="F15" s="319"/>
      <c r="G15" s="320"/>
      <c r="L15" s="17"/>
    </row>
    <row r="16" spans="2:18" s="16" customFormat="1" ht="28.2" thickBot="1" x14ac:dyDescent="0.35">
      <c r="B16" s="316" t="s">
        <v>128</v>
      </c>
      <c r="C16" s="317"/>
      <c r="D16" s="19" t="s">
        <v>224</v>
      </c>
      <c r="E16" s="19" t="s">
        <v>225</v>
      </c>
      <c r="F16" s="20" t="s">
        <v>226</v>
      </c>
      <c r="G16" s="21" t="s">
        <v>227</v>
      </c>
      <c r="L16" s="17"/>
      <c r="O16" s="22"/>
      <c r="P16" s="23"/>
      <c r="R16" s="24"/>
    </row>
    <row r="17" spans="2:16" s="16" customFormat="1" ht="31.35" customHeight="1" x14ac:dyDescent="0.3">
      <c r="B17" s="36" t="s">
        <v>228</v>
      </c>
      <c r="C17" s="37" t="s">
        <v>132</v>
      </c>
      <c r="D17" s="12">
        <v>3</v>
      </c>
      <c r="E17" s="337" t="s">
        <v>2816</v>
      </c>
      <c r="F17" s="12"/>
      <c r="G17" s="323"/>
      <c r="H17" s="17"/>
      <c r="I17" s="17"/>
      <c r="J17" s="17"/>
      <c r="K17" s="17"/>
      <c r="L17" s="17"/>
      <c r="M17" s="17"/>
      <c r="N17" s="17"/>
      <c r="O17" s="17"/>
      <c r="P17" s="17"/>
    </row>
    <row r="18" spans="2:16" s="16" customFormat="1" ht="20.100000000000001" customHeight="1" x14ac:dyDescent="0.3">
      <c r="B18" s="38" t="s">
        <v>229</v>
      </c>
      <c r="C18" s="39" t="s">
        <v>134</v>
      </c>
      <c r="D18" s="12">
        <v>3</v>
      </c>
      <c r="E18" s="338"/>
      <c r="F18" s="12"/>
      <c r="G18" s="324"/>
      <c r="H18" s="17"/>
      <c r="I18" s="17"/>
      <c r="J18" s="17"/>
      <c r="K18" s="17"/>
      <c r="L18" s="17"/>
      <c r="M18" s="17"/>
      <c r="N18" s="17"/>
      <c r="O18" s="17"/>
      <c r="P18" s="17"/>
    </row>
    <row r="19" spans="2:16" s="16" customFormat="1" ht="45.6" thickBot="1" x14ac:dyDescent="0.35">
      <c r="B19" s="40" t="s">
        <v>230</v>
      </c>
      <c r="C19" s="41" t="s">
        <v>136</v>
      </c>
      <c r="D19" s="13">
        <v>3</v>
      </c>
      <c r="E19" s="339"/>
      <c r="F19" s="13"/>
      <c r="G19" s="325"/>
      <c r="H19" s="17"/>
      <c r="I19" s="17"/>
      <c r="J19" s="17"/>
      <c r="K19" s="17"/>
      <c r="L19" s="17"/>
      <c r="M19" s="17"/>
      <c r="N19" s="17"/>
      <c r="O19" s="17"/>
      <c r="P19" s="17"/>
    </row>
    <row r="20" spans="2:16" s="16" customFormat="1" ht="28.2" thickBot="1" x14ac:dyDescent="0.35">
      <c r="B20" s="321" t="s">
        <v>138</v>
      </c>
      <c r="C20" s="322"/>
      <c r="D20" s="25" t="s">
        <v>224</v>
      </c>
      <c r="E20" s="25" t="s">
        <v>225</v>
      </c>
      <c r="F20" s="26" t="s">
        <v>226</v>
      </c>
      <c r="G20" s="27" t="s">
        <v>227</v>
      </c>
      <c r="H20" s="17"/>
      <c r="I20" s="17"/>
      <c r="J20" s="17"/>
      <c r="K20" s="17"/>
      <c r="L20" s="17"/>
      <c r="M20" s="17"/>
      <c r="N20" s="17"/>
      <c r="O20" s="17"/>
      <c r="P20" s="17"/>
    </row>
    <row r="21" spans="2:16" s="16" customFormat="1" ht="20.100000000000001" customHeight="1" x14ac:dyDescent="0.3">
      <c r="B21" s="36" t="s">
        <v>228</v>
      </c>
      <c r="C21" s="37" t="s">
        <v>139</v>
      </c>
      <c r="D21" s="12">
        <v>3</v>
      </c>
      <c r="E21" s="337" t="s">
        <v>2817</v>
      </c>
      <c r="F21" s="12"/>
      <c r="G21" s="323"/>
      <c r="H21" s="17"/>
      <c r="I21" s="17"/>
      <c r="J21" s="17"/>
      <c r="K21" s="17"/>
      <c r="L21" s="17"/>
      <c r="M21" s="17"/>
      <c r="N21" s="17"/>
      <c r="O21" s="17"/>
      <c r="P21" s="17"/>
    </row>
    <row r="22" spans="2:16" s="16" customFormat="1" ht="30" x14ac:dyDescent="0.3">
      <c r="B22" s="38" t="s">
        <v>229</v>
      </c>
      <c r="C22" s="39" t="s">
        <v>140</v>
      </c>
      <c r="D22" s="12">
        <v>3</v>
      </c>
      <c r="E22" s="338"/>
      <c r="F22" s="12"/>
      <c r="G22" s="324"/>
      <c r="H22" s="17"/>
      <c r="I22" s="17"/>
      <c r="J22" s="17"/>
      <c r="K22" s="17"/>
      <c r="L22" s="17"/>
      <c r="M22" s="17"/>
      <c r="N22" s="17"/>
      <c r="O22" s="17"/>
      <c r="P22" s="17"/>
    </row>
    <row r="23" spans="2:16" s="16" customFormat="1" ht="60" x14ac:dyDescent="0.3">
      <c r="B23" s="38" t="s">
        <v>230</v>
      </c>
      <c r="C23" s="39" t="s">
        <v>141</v>
      </c>
      <c r="D23" s="12">
        <v>3</v>
      </c>
      <c r="E23" s="338"/>
      <c r="F23" s="12"/>
      <c r="G23" s="324"/>
      <c r="H23" s="17"/>
      <c r="I23" s="17"/>
      <c r="J23" s="17"/>
      <c r="K23" s="17"/>
      <c r="L23" s="17"/>
      <c r="M23" s="17"/>
      <c r="N23" s="17"/>
      <c r="O23" s="17"/>
      <c r="P23" s="17"/>
    </row>
    <row r="24" spans="2:16" s="16" customFormat="1" ht="20.100000000000001" customHeight="1" thickBot="1" x14ac:dyDescent="0.35">
      <c r="B24" s="40" t="s">
        <v>231</v>
      </c>
      <c r="C24" s="41" t="s">
        <v>143</v>
      </c>
      <c r="D24" s="12">
        <v>3</v>
      </c>
      <c r="E24" s="339"/>
      <c r="F24" s="12"/>
      <c r="G24" s="325"/>
      <c r="H24" s="17"/>
      <c r="I24" s="17"/>
      <c r="J24" s="17"/>
      <c r="K24" s="17"/>
      <c r="L24" s="17"/>
      <c r="M24" s="17"/>
      <c r="N24" s="17"/>
      <c r="O24" s="17"/>
      <c r="P24" s="17"/>
    </row>
    <row r="25" spans="2:16" s="17" customFormat="1" ht="16.2" thickBot="1" x14ac:dyDescent="0.35">
      <c r="B25" s="28"/>
      <c r="C25" s="29"/>
      <c r="D25" s="30">
        <f>SUM(D17:D19,D21:D24)</f>
        <v>21</v>
      </c>
      <c r="E25" s="29" t="s">
        <v>232</v>
      </c>
      <c r="F25" s="30">
        <f>SUM(F17:F19,F21:F24)</f>
        <v>0</v>
      </c>
      <c r="G25" s="29" t="s">
        <v>233</v>
      </c>
    </row>
    <row r="26" spans="2:16" s="16" customFormat="1" ht="14.4" thickBot="1" x14ac:dyDescent="0.35">
      <c r="B26" s="17"/>
      <c r="C26" s="31"/>
      <c r="D26" s="17"/>
      <c r="E26" s="24"/>
      <c r="F26" s="17"/>
      <c r="G26" s="24"/>
      <c r="H26" s="17"/>
      <c r="I26" s="17"/>
      <c r="J26" s="17"/>
      <c r="K26" s="17"/>
      <c r="L26" s="17"/>
      <c r="M26" s="17"/>
      <c r="N26" s="17"/>
      <c r="O26" s="17"/>
      <c r="P26" s="17"/>
    </row>
    <row r="27" spans="2:16" s="16" customFormat="1" ht="16.2" thickBot="1" x14ac:dyDescent="0.35">
      <c r="B27" s="366" t="s">
        <v>234</v>
      </c>
      <c r="C27" s="362"/>
      <c r="D27" s="362"/>
      <c r="E27" s="362" t="s">
        <v>235</v>
      </c>
      <c r="F27" s="362"/>
      <c r="G27" s="363"/>
      <c r="H27" s="17"/>
      <c r="I27" s="17"/>
      <c r="J27" s="17"/>
      <c r="K27" s="17"/>
      <c r="L27" s="17"/>
      <c r="M27" s="17"/>
      <c r="N27" s="17"/>
      <c r="O27" s="17"/>
      <c r="P27" s="17"/>
    </row>
    <row r="28" spans="2:16" s="16" customFormat="1" ht="28.2" thickBot="1" x14ac:dyDescent="0.35">
      <c r="B28" s="321" t="s">
        <v>147</v>
      </c>
      <c r="C28" s="322"/>
      <c r="D28" s="25" t="s">
        <v>224</v>
      </c>
      <c r="E28" s="25" t="s">
        <v>225</v>
      </c>
      <c r="F28" s="26" t="s">
        <v>226</v>
      </c>
      <c r="G28" s="27" t="s">
        <v>227</v>
      </c>
      <c r="H28" s="17"/>
      <c r="I28" s="17"/>
      <c r="J28" s="17"/>
      <c r="K28" s="17"/>
      <c r="L28" s="17"/>
      <c r="M28" s="17"/>
      <c r="N28" s="17"/>
      <c r="O28" s="17"/>
      <c r="P28" s="17"/>
    </row>
    <row r="29" spans="2:16" s="16" customFormat="1" ht="31.35" customHeight="1" x14ac:dyDescent="0.3">
      <c r="B29" s="36" t="s">
        <v>228</v>
      </c>
      <c r="C29" s="37" t="s">
        <v>236</v>
      </c>
      <c r="D29" s="12">
        <v>3</v>
      </c>
      <c r="E29" s="337" t="s">
        <v>2818</v>
      </c>
      <c r="F29" s="12"/>
      <c r="G29" s="323"/>
      <c r="H29" s="17"/>
      <c r="I29" s="17"/>
      <c r="J29" s="17"/>
      <c r="K29" s="17"/>
      <c r="L29" s="17"/>
      <c r="M29" s="17"/>
      <c r="N29" s="17"/>
      <c r="O29" s="17"/>
      <c r="P29" s="17"/>
    </row>
    <row r="30" spans="2:16" s="16" customFormat="1" ht="30" x14ac:dyDescent="0.3">
      <c r="B30" s="38" t="s">
        <v>229</v>
      </c>
      <c r="C30" s="39" t="s">
        <v>237</v>
      </c>
      <c r="D30" s="12">
        <v>3</v>
      </c>
      <c r="E30" s="338"/>
      <c r="F30" s="12"/>
      <c r="G30" s="324"/>
      <c r="H30" s="17"/>
      <c r="I30" s="17"/>
      <c r="J30" s="17"/>
      <c r="K30" s="17"/>
      <c r="L30" s="17"/>
      <c r="M30" s="17"/>
      <c r="N30" s="17"/>
      <c r="O30" s="17"/>
      <c r="P30" s="17"/>
    </row>
    <row r="31" spans="2:16" s="16" customFormat="1" ht="45.6" thickBot="1" x14ac:dyDescent="0.35">
      <c r="B31" s="40" t="s">
        <v>230</v>
      </c>
      <c r="C31" s="41" t="s">
        <v>150</v>
      </c>
      <c r="D31" s="13">
        <v>2</v>
      </c>
      <c r="E31" s="339"/>
      <c r="F31" s="13"/>
      <c r="G31" s="325"/>
      <c r="H31" s="17"/>
      <c r="I31" s="17"/>
      <c r="J31" s="17"/>
      <c r="K31" s="17"/>
      <c r="L31" s="17"/>
      <c r="M31" s="17"/>
      <c r="N31" s="17"/>
      <c r="O31" s="17"/>
      <c r="P31" s="17"/>
    </row>
    <row r="32" spans="2:16" s="16" customFormat="1" ht="28.2" thickBot="1" x14ac:dyDescent="0.35">
      <c r="B32" s="351" t="s">
        <v>238</v>
      </c>
      <c r="C32" s="352"/>
      <c r="D32" s="25" t="s">
        <v>224</v>
      </c>
      <c r="E32" s="25" t="s">
        <v>225</v>
      </c>
      <c r="F32" s="26" t="s">
        <v>226</v>
      </c>
      <c r="G32" s="27" t="s">
        <v>227</v>
      </c>
      <c r="H32" s="17"/>
      <c r="I32" s="17"/>
      <c r="J32" s="17"/>
      <c r="K32" s="17"/>
      <c r="L32" s="17"/>
      <c r="M32" s="17"/>
      <c r="N32" s="17"/>
      <c r="O32" s="17"/>
      <c r="P32" s="17"/>
    </row>
    <row r="33" spans="2:16" s="16" customFormat="1" ht="31.35" customHeight="1" x14ac:dyDescent="0.3">
      <c r="B33" s="36" t="s">
        <v>228</v>
      </c>
      <c r="C33" s="37" t="s">
        <v>152</v>
      </c>
      <c r="D33" s="12">
        <v>3</v>
      </c>
      <c r="E33" s="337" t="s">
        <v>2819</v>
      </c>
      <c r="F33" s="12"/>
      <c r="G33" s="323"/>
      <c r="H33" s="17"/>
      <c r="I33" s="17"/>
      <c r="J33" s="17"/>
      <c r="K33" s="17"/>
      <c r="L33" s="17"/>
      <c r="M33" s="17"/>
      <c r="N33" s="17"/>
      <c r="O33" s="17"/>
      <c r="P33" s="17"/>
    </row>
    <row r="34" spans="2:16" s="16" customFormat="1" ht="30" x14ac:dyDescent="0.3">
      <c r="B34" s="38" t="s">
        <v>229</v>
      </c>
      <c r="C34" s="39" t="s">
        <v>153</v>
      </c>
      <c r="D34" s="12">
        <v>3</v>
      </c>
      <c r="E34" s="338"/>
      <c r="F34" s="12"/>
      <c r="G34" s="324"/>
      <c r="H34" s="17"/>
      <c r="I34" s="17"/>
      <c r="J34" s="17"/>
      <c r="K34" s="17"/>
      <c r="L34" s="17"/>
      <c r="M34" s="17"/>
      <c r="N34" s="17"/>
      <c r="O34" s="17"/>
      <c r="P34" s="17"/>
    </row>
    <row r="35" spans="2:16" s="16" customFormat="1" ht="30" x14ac:dyDescent="0.3">
      <c r="B35" s="38" t="s">
        <v>230</v>
      </c>
      <c r="C35" s="39" t="s">
        <v>154</v>
      </c>
      <c r="D35" s="12">
        <v>3</v>
      </c>
      <c r="E35" s="338"/>
      <c r="F35" s="12"/>
      <c r="G35" s="324"/>
      <c r="H35" s="17"/>
      <c r="I35" s="17"/>
      <c r="J35" s="17"/>
      <c r="K35" s="17"/>
      <c r="L35" s="17"/>
      <c r="M35" s="17"/>
      <c r="N35" s="17"/>
      <c r="O35" s="17"/>
      <c r="P35" s="17"/>
    </row>
    <row r="36" spans="2:16" s="16" customFormat="1" ht="45" x14ac:dyDescent="0.3">
      <c r="B36" s="38" t="s">
        <v>231</v>
      </c>
      <c r="C36" s="39" t="s">
        <v>156</v>
      </c>
      <c r="D36" s="12">
        <v>3</v>
      </c>
      <c r="E36" s="338"/>
      <c r="F36" s="12"/>
      <c r="G36" s="324"/>
      <c r="H36" s="17"/>
      <c r="I36" s="17"/>
      <c r="J36" s="17"/>
      <c r="K36" s="17"/>
      <c r="L36" s="17"/>
      <c r="M36" s="17"/>
      <c r="N36" s="17"/>
      <c r="O36" s="17"/>
      <c r="P36" s="17"/>
    </row>
    <row r="37" spans="2:16" s="16" customFormat="1" ht="29.55" customHeight="1" thickBot="1" x14ac:dyDescent="0.35">
      <c r="B37" s="40" t="s">
        <v>239</v>
      </c>
      <c r="C37" s="41" t="s">
        <v>158</v>
      </c>
      <c r="D37" s="13">
        <v>2</v>
      </c>
      <c r="E37" s="339"/>
      <c r="F37" s="13"/>
      <c r="G37" s="325"/>
      <c r="H37" s="17"/>
      <c r="I37" s="17"/>
      <c r="J37" s="17"/>
      <c r="K37" s="17"/>
      <c r="L37" s="17"/>
      <c r="M37" s="17"/>
      <c r="N37" s="17"/>
      <c r="O37" s="17"/>
      <c r="P37" s="17"/>
    </row>
    <row r="38" spans="2:16" s="16" customFormat="1" ht="28.2" thickBot="1" x14ac:dyDescent="0.35">
      <c r="B38" s="351" t="s">
        <v>159</v>
      </c>
      <c r="C38" s="352"/>
      <c r="D38" s="25" t="s">
        <v>224</v>
      </c>
      <c r="E38" s="25" t="s">
        <v>225</v>
      </c>
      <c r="F38" s="26" t="s">
        <v>226</v>
      </c>
      <c r="G38" s="27" t="s">
        <v>227</v>
      </c>
      <c r="H38" s="17"/>
      <c r="I38" s="17"/>
      <c r="J38" s="17"/>
      <c r="K38" s="17"/>
      <c r="L38" s="17"/>
      <c r="M38" s="17"/>
      <c r="N38" s="17"/>
      <c r="O38" s="17"/>
      <c r="P38" s="17"/>
    </row>
    <row r="39" spans="2:16" s="16" customFormat="1" ht="46.5" customHeight="1" x14ac:dyDescent="0.3">
      <c r="B39" s="36" t="s">
        <v>228</v>
      </c>
      <c r="C39" s="37" t="s">
        <v>160</v>
      </c>
      <c r="D39" s="12">
        <v>3</v>
      </c>
      <c r="E39" s="337" t="s">
        <v>2826</v>
      </c>
      <c r="F39" s="12"/>
      <c r="G39" s="323"/>
      <c r="H39" s="17"/>
      <c r="I39" s="17"/>
      <c r="J39" s="17"/>
      <c r="K39" s="17"/>
      <c r="L39" s="17"/>
      <c r="M39" s="17"/>
      <c r="N39" s="17"/>
      <c r="O39" s="17"/>
      <c r="P39" s="17"/>
    </row>
    <row r="40" spans="2:16" s="16" customFormat="1" ht="30.6" thickBot="1" x14ac:dyDescent="0.35">
      <c r="B40" s="42" t="s">
        <v>229</v>
      </c>
      <c r="C40" s="43" t="s">
        <v>240</v>
      </c>
      <c r="D40" s="44">
        <v>2</v>
      </c>
      <c r="E40" s="339"/>
      <c r="F40" s="44"/>
      <c r="G40" s="325"/>
      <c r="H40" s="17"/>
      <c r="I40" s="17"/>
      <c r="J40" s="17"/>
      <c r="K40" s="17"/>
      <c r="L40" s="17"/>
      <c r="M40" s="17"/>
      <c r="N40" s="17"/>
      <c r="O40" s="17"/>
      <c r="P40" s="17"/>
    </row>
    <row r="41" spans="2:16" s="16" customFormat="1" ht="28.2" thickBot="1" x14ac:dyDescent="0.35">
      <c r="B41" s="357" t="s">
        <v>162</v>
      </c>
      <c r="C41" s="358"/>
      <c r="D41" s="233" t="s">
        <v>224</v>
      </c>
      <c r="E41" s="233" t="s">
        <v>225</v>
      </c>
      <c r="F41" s="234" t="s">
        <v>226</v>
      </c>
      <c r="G41" s="235" t="s">
        <v>227</v>
      </c>
      <c r="H41" s="17"/>
      <c r="I41" s="17"/>
      <c r="J41" s="17"/>
      <c r="K41" s="17"/>
      <c r="L41" s="17"/>
      <c r="M41" s="17"/>
      <c r="N41" s="17"/>
      <c r="O41" s="17"/>
      <c r="P41" s="17"/>
    </row>
    <row r="42" spans="2:16" s="16" customFormat="1" ht="31.35" customHeight="1" x14ac:dyDescent="0.3">
      <c r="B42" s="242" t="s">
        <v>228</v>
      </c>
      <c r="C42" s="243" t="s">
        <v>163</v>
      </c>
      <c r="D42" s="244">
        <v>3</v>
      </c>
      <c r="E42" s="355" t="s">
        <v>2820</v>
      </c>
      <c r="F42" s="244"/>
      <c r="G42" s="353"/>
      <c r="H42" s="17"/>
      <c r="I42" s="17"/>
      <c r="J42" s="17"/>
      <c r="K42" s="17"/>
      <c r="L42" s="17"/>
      <c r="M42" s="17"/>
      <c r="N42" s="17"/>
      <c r="O42" s="17"/>
      <c r="P42" s="17"/>
    </row>
    <row r="43" spans="2:16" s="16" customFormat="1" ht="60" customHeight="1" thickBot="1" x14ac:dyDescent="0.35">
      <c r="B43" s="42" t="s">
        <v>229</v>
      </c>
      <c r="C43" s="43" t="s">
        <v>164</v>
      </c>
      <c r="D43" s="245">
        <v>3</v>
      </c>
      <c r="E43" s="356"/>
      <c r="F43" s="245"/>
      <c r="G43" s="354"/>
      <c r="H43" s="17"/>
      <c r="I43" s="17"/>
      <c r="J43" s="17"/>
      <c r="K43" s="17"/>
      <c r="L43" s="17"/>
      <c r="M43" s="17"/>
      <c r="N43" s="17"/>
      <c r="O43" s="17"/>
      <c r="P43" s="17"/>
    </row>
    <row r="44" spans="2:16" s="16" customFormat="1" ht="16.2" thickBot="1" x14ac:dyDescent="0.35">
      <c r="B44" s="236"/>
      <c r="C44" s="237"/>
      <c r="D44" s="238">
        <f>SUM(D29:D31,D33:D37,D39:D40,D42:D43)</f>
        <v>33</v>
      </c>
      <c r="E44" s="239" t="s">
        <v>232</v>
      </c>
      <c r="F44" s="240">
        <f>SUM(F29:F31,F33:F37,F39:F40,F42:F43)</f>
        <v>0</v>
      </c>
      <c r="G44" s="241" t="s">
        <v>233</v>
      </c>
      <c r="H44" s="17"/>
      <c r="I44" s="17"/>
      <c r="J44" s="17"/>
      <c r="K44" s="17"/>
      <c r="L44" s="17"/>
      <c r="M44" s="17"/>
      <c r="N44" s="17"/>
      <c r="O44" s="17"/>
      <c r="P44" s="17"/>
    </row>
    <row r="45" spans="2:16" s="16" customFormat="1" ht="14.4" thickBot="1" x14ac:dyDescent="0.35">
      <c r="B45" s="17"/>
      <c r="C45" s="31"/>
      <c r="D45" s="17"/>
      <c r="E45" s="24"/>
      <c r="F45" s="17"/>
      <c r="G45" s="24"/>
      <c r="H45" s="17"/>
      <c r="I45" s="17"/>
      <c r="J45" s="17"/>
      <c r="K45" s="17"/>
      <c r="L45" s="17"/>
      <c r="M45" s="17"/>
      <c r="N45" s="17"/>
      <c r="O45" s="17"/>
      <c r="P45" s="17"/>
    </row>
    <row r="46" spans="2:16" s="16" customFormat="1" ht="16.2" thickBot="1" x14ac:dyDescent="0.35">
      <c r="B46" s="318" t="s">
        <v>241</v>
      </c>
      <c r="C46" s="319"/>
      <c r="D46" s="319"/>
      <c r="E46" s="319" t="s">
        <v>242</v>
      </c>
      <c r="F46" s="319"/>
      <c r="G46" s="320"/>
      <c r="H46" s="17"/>
      <c r="I46" s="17"/>
      <c r="J46" s="17"/>
      <c r="K46" s="17"/>
      <c r="L46" s="17"/>
      <c r="M46" s="17"/>
      <c r="N46" s="17"/>
      <c r="O46" s="17"/>
      <c r="P46" s="17"/>
    </row>
    <row r="47" spans="2:16" s="16" customFormat="1" ht="28.2" thickBot="1" x14ac:dyDescent="0.35">
      <c r="B47" s="364" t="s">
        <v>243</v>
      </c>
      <c r="C47" s="365"/>
      <c r="D47" s="19" t="s">
        <v>224</v>
      </c>
      <c r="E47" s="19" t="s">
        <v>225</v>
      </c>
      <c r="F47" s="20" t="s">
        <v>226</v>
      </c>
      <c r="G47" s="21" t="s">
        <v>227</v>
      </c>
      <c r="H47" s="17"/>
      <c r="I47" s="17"/>
      <c r="J47" s="17"/>
      <c r="K47" s="17"/>
      <c r="L47" s="17"/>
      <c r="M47" s="17"/>
      <c r="N47" s="17"/>
      <c r="O47" s="17"/>
      <c r="P47" s="17"/>
    </row>
    <row r="48" spans="2:16" s="16" customFormat="1" ht="40.049999999999997" customHeight="1" x14ac:dyDescent="0.3">
      <c r="B48" s="36" t="s">
        <v>228</v>
      </c>
      <c r="C48" s="37" t="s">
        <v>168</v>
      </c>
      <c r="D48" s="12">
        <v>3</v>
      </c>
      <c r="E48" s="337" t="s">
        <v>2821</v>
      </c>
      <c r="F48" s="12"/>
      <c r="G48" s="323"/>
      <c r="H48" s="17"/>
      <c r="I48" s="17"/>
      <c r="J48" s="17"/>
      <c r="K48" s="17"/>
      <c r="L48" s="17"/>
      <c r="M48" s="17"/>
      <c r="N48" s="17"/>
      <c r="O48" s="17"/>
      <c r="P48" s="17"/>
    </row>
    <row r="49" spans="2:16" s="16" customFormat="1" ht="40.049999999999997" customHeight="1" x14ac:dyDescent="0.3">
      <c r="B49" s="38" t="s">
        <v>229</v>
      </c>
      <c r="C49" s="39" t="s">
        <v>244</v>
      </c>
      <c r="D49" s="12">
        <v>3</v>
      </c>
      <c r="E49" s="338"/>
      <c r="F49" s="12"/>
      <c r="G49" s="324"/>
      <c r="H49" s="17"/>
      <c r="I49" s="17"/>
      <c r="J49" s="17"/>
      <c r="K49" s="17"/>
      <c r="L49" s="17"/>
      <c r="M49" s="17"/>
      <c r="N49" s="17"/>
      <c r="O49" s="17"/>
      <c r="P49" s="17"/>
    </row>
    <row r="50" spans="2:16" s="16" customFormat="1" ht="40.049999999999997" customHeight="1" thickBot="1" x14ac:dyDescent="0.35">
      <c r="B50" s="40" t="s">
        <v>230</v>
      </c>
      <c r="C50" s="41" t="s">
        <v>170</v>
      </c>
      <c r="D50" s="13">
        <v>2</v>
      </c>
      <c r="E50" s="339"/>
      <c r="F50" s="13"/>
      <c r="G50" s="325"/>
      <c r="H50" s="17"/>
      <c r="I50" s="17"/>
      <c r="J50" s="17"/>
      <c r="K50" s="17"/>
      <c r="L50" s="17"/>
      <c r="M50" s="17"/>
      <c r="N50" s="17"/>
      <c r="O50" s="17"/>
      <c r="P50" s="17"/>
    </row>
    <row r="51" spans="2:16" s="16" customFormat="1" ht="28.2" thickBot="1" x14ac:dyDescent="0.35">
      <c r="B51" s="351" t="s">
        <v>171</v>
      </c>
      <c r="C51" s="352"/>
      <c r="D51" s="25" t="s">
        <v>224</v>
      </c>
      <c r="E51" s="25" t="s">
        <v>225</v>
      </c>
      <c r="F51" s="26" t="s">
        <v>226</v>
      </c>
      <c r="G51" s="27" t="s">
        <v>227</v>
      </c>
      <c r="H51" s="17"/>
      <c r="I51" s="17"/>
      <c r="J51" s="17"/>
      <c r="K51" s="17"/>
      <c r="L51" s="17"/>
      <c r="M51" s="17"/>
      <c r="N51" s="17"/>
      <c r="O51" s="17"/>
      <c r="P51" s="17"/>
    </row>
    <row r="52" spans="2:16" s="16" customFormat="1" ht="30" customHeight="1" x14ac:dyDescent="0.3">
      <c r="B52" s="36" t="s">
        <v>228</v>
      </c>
      <c r="C52" s="37" t="s">
        <v>245</v>
      </c>
      <c r="D52" s="12">
        <v>3</v>
      </c>
      <c r="E52" s="337" t="s">
        <v>2822</v>
      </c>
      <c r="F52" s="12"/>
      <c r="G52" s="323"/>
      <c r="H52" s="17"/>
      <c r="I52" s="17"/>
      <c r="J52" s="17"/>
      <c r="K52" s="17"/>
      <c r="L52" s="17"/>
      <c r="M52" s="17"/>
      <c r="N52" s="17"/>
      <c r="O52" s="17"/>
      <c r="P52" s="17"/>
    </row>
    <row r="53" spans="2:16" s="16" customFormat="1" ht="46.35" customHeight="1" thickBot="1" x14ac:dyDescent="0.35">
      <c r="B53" s="40" t="s">
        <v>229</v>
      </c>
      <c r="C53" s="41" t="s">
        <v>173</v>
      </c>
      <c r="D53" s="13">
        <v>3</v>
      </c>
      <c r="E53" s="339"/>
      <c r="F53" s="13"/>
      <c r="G53" s="325"/>
      <c r="H53" s="17"/>
      <c r="I53" s="17"/>
      <c r="J53" s="17"/>
      <c r="K53" s="17"/>
      <c r="L53" s="17"/>
      <c r="M53" s="17"/>
      <c r="N53" s="17"/>
      <c r="O53" s="17"/>
      <c r="P53" s="17"/>
    </row>
    <row r="54" spans="2:16" s="16" customFormat="1" ht="28.2" thickBot="1" x14ac:dyDescent="0.35">
      <c r="B54" s="351" t="s">
        <v>246</v>
      </c>
      <c r="C54" s="352"/>
      <c r="D54" s="25" t="s">
        <v>224</v>
      </c>
      <c r="E54" s="25" t="s">
        <v>225</v>
      </c>
      <c r="F54" s="26" t="s">
        <v>226</v>
      </c>
      <c r="G54" s="27" t="s">
        <v>227</v>
      </c>
      <c r="H54" s="17"/>
      <c r="I54" s="17"/>
      <c r="J54" s="17"/>
      <c r="K54" s="17"/>
      <c r="L54" s="17"/>
      <c r="M54" s="17"/>
      <c r="N54" s="17"/>
      <c r="O54" s="17"/>
      <c r="P54" s="17"/>
    </row>
    <row r="55" spans="2:16" s="16" customFormat="1" ht="45" x14ac:dyDescent="0.3">
      <c r="B55" s="36" t="s">
        <v>228</v>
      </c>
      <c r="C55" s="37" t="s">
        <v>247</v>
      </c>
      <c r="D55" s="12">
        <v>3</v>
      </c>
      <c r="E55" s="337" t="s">
        <v>2823</v>
      </c>
      <c r="F55" s="12"/>
      <c r="G55" s="323"/>
      <c r="H55" s="17"/>
      <c r="I55" s="17"/>
      <c r="J55" s="17"/>
      <c r="K55" s="17"/>
      <c r="L55" s="17"/>
      <c r="M55" s="17"/>
      <c r="N55" s="17"/>
      <c r="O55" s="17"/>
      <c r="P55" s="17"/>
    </row>
    <row r="56" spans="2:16" s="16" customFormat="1" ht="30" customHeight="1" thickBot="1" x14ac:dyDescent="0.35">
      <c r="B56" s="40" t="s">
        <v>229</v>
      </c>
      <c r="C56" s="41" t="s">
        <v>248</v>
      </c>
      <c r="D56" s="13">
        <v>3</v>
      </c>
      <c r="E56" s="339"/>
      <c r="F56" s="13"/>
      <c r="G56" s="325"/>
      <c r="H56" s="17"/>
      <c r="I56" s="17"/>
      <c r="J56" s="17"/>
      <c r="K56" s="17"/>
      <c r="L56" s="17"/>
      <c r="M56" s="17"/>
      <c r="N56" s="17"/>
      <c r="O56" s="17"/>
      <c r="P56" s="17"/>
    </row>
    <row r="57" spans="2:16" s="16" customFormat="1" ht="16.2" thickBot="1" x14ac:dyDescent="0.35">
      <c r="B57" s="28"/>
      <c r="C57" s="32"/>
      <c r="D57" s="30">
        <f>SUM(D48:D50,D52:D53,D55:D56)</f>
        <v>20</v>
      </c>
      <c r="E57" s="29" t="s">
        <v>232</v>
      </c>
      <c r="F57" s="33">
        <f>SUM(F48:F50,F52:F53,F55:F56)</f>
        <v>0</v>
      </c>
      <c r="G57" s="34" t="s">
        <v>233</v>
      </c>
      <c r="H57" s="17"/>
      <c r="I57" s="17"/>
      <c r="J57" s="17"/>
      <c r="K57" s="17"/>
      <c r="L57" s="17"/>
      <c r="M57" s="17"/>
      <c r="N57" s="17"/>
      <c r="O57" s="17"/>
      <c r="P57" s="17"/>
    </row>
    <row r="58" spans="2:16" s="14" customFormat="1" ht="18" thickBot="1" x14ac:dyDescent="0.35">
      <c r="B58" s="297"/>
      <c r="C58" s="298"/>
      <c r="D58" s="87">
        <f>SUM(D25,D44,D57)</f>
        <v>74</v>
      </c>
      <c r="E58" s="87" t="s">
        <v>249</v>
      </c>
      <c r="F58" s="87">
        <f>SUM(F25,F44,F57)</f>
        <v>0</v>
      </c>
      <c r="G58" s="88" t="s">
        <v>250</v>
      </c>
    </row>
    <row r="60" spans="2:16" ht="16.2" thickBot="1" x14ac:dyDescent="0.35">
      <c r="B60" s="293" t="s">
        <v>251</v>
      </c>
      <c r="C60" s="293"/>
      <c r="D60" s="293"/>
      <c r="E60" s="293"/>
      <c r="F60" s="293"/>
      <c r="G60" s="293"/>
      <c r="H60" s="35"/>
      <c r="I60" s="35"/>
      <c r="J60" s="35"/>
      <c r="K60" s="35"/>
      <c r="L60" s="35"/>
      <c r="M60" s="35"/>
      <c r="N60" s="35"/>
      <c r="O60" s="35"/>
    </row>
    <row r="61" spans="2:16" ht="16.2" thickBot="1" x14ac:dyDescent="0.35">
      <c r="B61" s="373" t="s">
        <v>129</v>
      </c>
      <c r="C61" s="374"/>
      <c r="D61" s="374"/>
      <c r="E61" s="374"/>
      <c r="F61" s="374"/>
      <c r="G61" s="375"/>
      <c r="H61" s="35"/>
      <c r="I61" s="35"/>
      <c r="J61" s="35"/>
      <c r="K61" s="35"/>
      <c r="L61" s="35"/>
      <c r="M61" s="35"/>
      <c r="N61" s="35"/>
      <c r="O61" s="35"/>
    </row>
    <row r="62" spans="2:16" ht="16.2" thickBot="1" x14ac:dyDescent="0.35">
      <c r="B62" s="383" t="s">
        <v>252</v>
      </c>
      <c r="C62" s="384"/>
      <c r="D62" s="385"/>
      <c r="E62" s="383" t="s">
        <v>253</v>
      </c>
      <c r="F62" s="386"/>
      <c r="G62" s="152" t="s">
        <v>254</v>
      </c>
    </row>
    <row r="63" spans="2:16" ht="100.05" customHeight="1" x14ac:dyDescent="0.3">
      <c r="B63" s="359" t="s">
        <v>2824</v>
      </c>
      <c r="C63" s="360"/>
      <c r="D63" s="361"/>
      <c r="E63" s="359" t="s">
        <v>255</v>
      </c>
      <c r="F63" s="361"/>
      <c r="G63" s="121" t="s">
        <v>255</v>
      </c>
    </row>
    <row r="64" spans="2:16" ht="30" customHeight="1" x14ac:dyDescent="0.3">
      <c r="B64" s="387" t="s">
        <v>256</v>
      </c>
      <c r="C64" s="388"/>
      <c r="D64" s="389"/>
      <c r="E64" s="387" t="s">
        <v>256</v>
      </c>
      <c r="F64" s="389"/>
      <c r="G64" s="153" t="s">
        <v>256</v>
      </c>
    </row>
    <row r="65" spans="2:7" ht="30" customHeight="1" thickBot="1" x14ac:dyDescent="0.35">
      <c r="B65" s="294" t="s">
        <v>257</v>
      </c>
      <c r="C65" s="295"/>
      <c r="D65" s="296"/>
      <c r="E65" s="294" t="s">
        <v>257</v>
      </c>
      <c r="F65" s="296"/>
      <c r="G65" s="154" t="s">
        <v>257</v>
      </c>
    </row>
    <row r="66" spans="2:7" ht="15.6" thickBot="1" x14ac:dyDescent="0.35"/>
    <row r="67" spans="2:7" ht="16.2" thickBot="1" x14ac:dyDescent="0.35">
      <c r="B67" s="376" t="s">
        <v>130</v>
      </c>
      <c r="C67" s="377"/>
      <c r="D67" s="377"/>
      <c r="E67" s="377"/>
      <c r="F67" s="377"/>
      <c r="G67" s="378"/>
    </row>
    <row r="68" spans="2:7" ht="16.2" thickBot="1" x14ac:dyDescent="0.35">
      <c r="B68" s="379" t="s">
        <v>252</v>
      </c>
      <c r="C68" s="380"/>
      <c r="D68" s="381"/>
      <c r="E68" s="379" t="s">
        <v>253</v>
      </c>
      <c r="F68" s="382"/>
      <c r="G68" s="155" t="s">
        <v>254</v>
      </c>
    </row>
    <row r="69" spans="2:7" ht="100.05" customHeight="1" x14ac:dyDescent="0.3">
      <c r="B69" s="359" t="s">
        <v>2825</v>
      </c>
      <c r="C69" s="360"/>
      <c r="D69" s="361"/>
      <c r="E69" s="359" t="s">
        <v>255</v>
      </c>
      <c r="F69" s="361"/>
      <c r="G69" s="121" t="s">
        <v>255</v>
      </c>
    </row>
    <row r="70" spans="2:7" ht="30" customHeight="1" x14ac:dyDescent="0.3">
      <c r="B70" s="367" t="s">
        <v>256</v>
      </c>
      <c r="C70" s="368"/>
      <c r="D70" s="369"/>
      <c r="E70" s="367" t="s">
        <v>256</v>
      </c>
      <c r="F70" s="369"/>
      <c r="G70" s="156" t="s">
        <v>256</v>
      </c>
    </row>
    <row r="71" spans="2:7" ht="30" customHeight="1" thickBot="1" x14ac:dyDescent="0.35">
      <c r="B71" s="370" t="s">
        <v>257</v>
      </c>
      <c r="C71" s="371"/>
      <c r="D71" s="372"/>
      <c r="E71" s="370" t="s">
        <v>257</v>
      </c>
      <c r="F71" s="372"/>
      <c r="G71" s="157" t="s">
        <v>257</v>
      </c>
    </row>
    <row r="72" spans="2:7" ht="22.05" customHeight="1" x14ac:dyDescent="0.3">
      <c r="B72" s="292" t="s">
        <v>212</v>
      </c>
      <c r="C72" s="292"/>
      <c r="D72" s="292"/>
      <c r="E72" s="292"/>
      <c r="F72" s="292"/>
      <c r="G72" s="292"/>
    </row>
  </sheetData>
  <sheetProtection algorithmName="SHA-512" hashValue="WhQXvZ9Mp2iVFl2R4ulc5dRhpx+bvQa9Z+tQeU7Us/x/ArOjy6MlaTDcY1/n/T+fgBcV3DD9G9DDUuZHLNH0Nw==" saltValue="5r9DqcWhd58ldNOKHxrS5w==" spinCount="100000" sheet="1" objects="1" scenarios="1"/>
  <mergeCells count="72">
    <mergeCell ref="B70:D70"/>
    <mergeCell ref="E70:F70"/>
    <mergeCell ref="B71:D71"/>
    <mergeCell ref="E71:F71"/>
    <mergeCell ref="B61:G61"/>
    <mergeCell ref="B67:G67"/>
    <mergeCell ref="B68:D68"/>
    <mergeCell ref="E68:F68"/>
    <mergeCell ref="B69:D69"/>
    <mergeCell ref="E69:F69"/>
    <mergeCell ref="B62:D62"/>
    <mergeCell ref="E62:F62"/>
    <mergeCell ref="B64:D64"/>
    <mergeCell ref="E64:F64"/>
    <mergeCell ref="E65:F65"/>
    <mergeCell ref="E63:F63"/>
    <mergeCell ref="B63:D63"/>
    <mergeCell ref="G21:G24"/>
    <mergeCell ref="E21:E24"/>
    <mergeCell ref="E27:G27"/>
    <mergeCell ref="G55:G56"/>
    <mergeCell ref="E55:E56"/>
    <mergeCell ref="G52:G53"/>
    <mergeCell ref="E52:E53"/>
    <mergeCell ref="G48:G50"/>
    <mergeCell ref="E48:E50"/>
    <mergeCell ref="B47:C47"/>
    <mergeCell ref="B51:C51"/>
    <mergeCell ref="B54:C54"/>
    <mergeCell ref="B28:C28"/>
    <mergeCell ref="B27:D27"/>
    <mergeCell ref="B46:D46"/>
    <mergeCell ref="E46:G46"/>
    <mergeCell ref="B32:C32"/>
    <mergeCell ref="G42:G43"/>
    <mergeCell ref="E42:E43"/>
    <mergeCell ref="G39:G40"/>
    <mergeCell ref="E39:E40"/>
    <mergeCell ref="G33:G37"/>
    <mergeCell ref="B38:C38"/>
    <mergeCell ref="B41:C41"/>
    <mergeCell ref="G29:G31"/>
    <mergeCell ref="E33:E37"/>
    <mergeCell ref="E29:E31"/>
    <mergeCell ref="E17:E19"/>
    <mergeCell ref="B6:D6"/>
    <mergeCell ref="E6:G6"/>
    <mergeCell ref="F10:G10"/>
    <mergeCell ref="F13:G13"/>
    <mergeCell ref="F12:G12"/>
    <mergeCell ref="F11:G11"/>
    <mergeCell ref="B2:G2"/>
    <mergeCell ref="B3:E3"/>
    <mergeCell ref="F3:G3"/>
    <mergeCell ref="B5:D5"/>
    <mergeCell ref="F5:G5"/>
    <mergeCell ref="B72:G72"/>
    <mergeCell ref="B60:G60"/>
    <mergeCell ref="B65:D65"/>
    <mergeCell ref="B58:C58"/>
    <mergeCell ref="B7:D7"/>
    <mergeCell ref="F7:G7"/>
    <mergeCell ref="B8:D8"/>
    <mergeCell ref="E8:G8"/>
    <mergeCell ref="B11:D11"/>
    <mergeCell ref="B12:D12"/>
    <mergeCell ref="B13:D13"/>
    <mergeCell ref="B16:C16"/>
    <mergeCell ref="B15:D15"/>
    <mergeCell ref="E15:G15"/>
    <mergeCell ref="B20:C20"/>
    <mergeCell ref="G17:G19"/>
  </mergeCells>
  <conditionalFormatting sqref="D17:D19 O17:P57 D21:D26 E27 D29:D31 D33:D37 D39:D40 D42:D45 E46 D48:D50 D52:D53 D55:D57">
    <cfRule type="expression" dxfId="14" priority="4">
      <formula>$A17="X"</formula>
    </cfRule>
  </conditionalFormatting>
  <conditionalFormatting sqref="F17:F19 F21:F26 F29:F31 F33:F37 F39:F40 F42:F45 F48:F50 F52:F53 F55:F57">
    <cfRule type="expression" dxfId="13" priority="1">
      <formula>$A17="X"</formula>
    </cfRule>
  </conditionalFormatting>
  <conditionalFormatting sqref="F25:F26 F44:F45 F57">
    <cfRule type="expression" priority="2">
      <formula>$A25=""</formula>
    </cfRule>
  </conditionalFormatting>
  <conditionalFormatting sqref="P17:P57">
    <cfRule type="expression" priority="5">
      <formula>$A17=""</formula>
    </cfRule>
  </conditionalFormatting>
  <dataValidations count="1">
    <dataValidation type="list" allowBlank="1" showInputMessage="1" showErrorMessage="1" promptTitle="Criteria " prompt="1=Unacceptable _x000a_2=Acceptable_x000a_3=Good_x000a_4=Outstanding" sqref="F55:F56 O17:P57 D17:D19 D21:D24 D29:D31 D33:D37 F42:F43 D48:D50 D52:D53 F17:F19 F21:F24 F29:F31 F33:F37 D55:D56 F48:F50 F52:F53 F39:F40 D39:D40 D42:D43" xr:uid="{D2623C6B-CA6C-4A5A-BAF9-F7BC1233D6CE}">
      <formula1>"1,2,3,4"</formula1>
    </dataValidation>
  </dataValidations>
  <pageMargins left="0.31496062992125984" right="0.31496062992125984" top="0.35433070866141736" bottom="0.31496062992125984" header="0.31496062992125984" footer="0.31496062992125984"/>
  <pageSetup paperSize="9" scale="68" fitToHeight="2" orientation="portrait" r:id="rId1"/>
  <rowBreaks count="1" manualBreakCount="1">
    <brk id="40" min="1"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70C0"/>
    <pageSetUpPr fitToPage="1"/>
  </sheetPr>
  <dimension ref="A1:J48"/>
  <sheetViews>
    <sheetView tabSelected="1" topLeftCell="A41" zoomScale="140" zoomScaleNormal="140" zoomScaleSheetLayoutView="120" workbookViewId="0">
      <selection activeCell="A56" sqref="A56"/>
    </sheetView>
  </sheetViews>
  <sheetFormatPr defaultColWidth="8.77734375" defaultRowHeight="14.4" x14ac:dyDescent="0.3"/>
  <cols>
    <col min="1" max="1" width="5.77734375" customWidth="1"/>
    <col min="2" max="2" width="30.21875" customWidth="1"/>
    <col min="3" max="3" width="32.77734375" customWidth="1"/>
    <col min="4" max="6" width="18.77734375" customWidth="1"/>
    <col min="7" max="8" width="8.77734375" customWidth="1"/>
    <col min="9" max="9" width="43" customWidth="1"/>
  </cols>
  <sheetData>
    <row r="1" spans="1:10" ht="18" thickBot="1" x14ac:dyDescent="0.35">
      <c r="F1" s="231"/>
    </row>
    <row r="2" spans="1:10" ht="36.6" customHeight="1" thickBot="1" x14ac:dyDescent="0.35">
      <c r="A2" s="693" t="s">
        <v>258</v>
      </c>
      <c r="B2" s="694"/>
      <c r="C2" s="694"/>
      <c r="D2" s="694"/>
      <c r="E2" s="695" t="s">
        <v>259</v>
      </c>
      <c r="F2" s="696"/>
    </row>
    <row r="3" spans="1:10" ht="10.35" customHeight="1" thickBot="1" x14ac:dyDescent="0.35">
      <c r="A3" s="699" t="s">
        <v>260</v>
      </c>
      <c r="B3" s="699"/>
      <c r="C3" s="699"/>
      <c r="D3" s="699"/>
      <c r="E3" s="699"/>
      <c r="F3" s="699"/>
    </row>
    <row r="4" spans="1:10" ht="20.100000000000001" customHeight="1" x14ac:dyDescent="0.3">
      <c r="A4" s="700" t="s">
        <v>261</v>
      </c>
      <c r="B4" s="701"/>
      <c r="C4" s="150" t="s">
        <v>2828</v>
      </c>
      <c r="D4" s="637" t="e" vm="1">
        <v>#VALUE!</v>
      </c>
      <c r="E4" s="635"/>
      <c r="F4" s="638"/>
    </row>
    <row r="5" spans="1:10" ht="20.100000000000001" customHeight="1" x14ac:dyDescent="0.3">
      <c r="A5" s="712" t="s">
        <v>262</v>
      </c>
      <c r="B5" s="713"/>
      <c r="C5" s="151"/>
      <c r="D5" s="639"/>
      <c r="E5" s="640"/>
      <c r="F5" s="641"/>
    </row>
    <row r="6" spans="1:10" ht="15" x14ac:dyDescent="0.3">
      <c r="A6" s="703" t="s">
        <v>104</v>
      </c>
      <c r="B6" s="704"/>
      <c r="C6" s="202" t="str">
        <f>'Appraisal Instrument (A1) '!C9</f>
        <v>AFRICA</v>
      </c>
      <c r="D6" s="639"/>
      <c r="E6" s="640"/>
      <c r="F6" s="641"/>
    </row>
    <row r="7" spans="1:10" ht="15" x14ac:dyDescent="0.3">
      <c r="A7" s="710" t="s">
        <v>263</v>
      </c>
      <c r="B7" s="711"/>
      <c r="C7" s="203" t="str">
        <f>'Appraisal Instrument (A1) '!E9</f>
        <v>CHARMAINE PAIGE</v>
      </c>
      <c r="D7" s="639"/>
      <c r="E7" s="640"/>
      <c r="F7" s="641"/>
      <c r="G7" s="230"/>
    </row>
    <row r="8" spans="1:10" ht="15" x14ac:dyDescent="0.3">
      <c r="A8" s="703" t="s">
        <v>264</v>
      </c>
      <c r="B8" s="704"/>
      <c r="C8" s="202">
        <f>'Appraisal Instrument (A1) '!E10</f>
        <v>50467948</v>
      </c>
      <c r="D8" s="639"/>
      <c r="E8" s="640"/>
      <c r="F8" s="641"/>
    </row>
    <row r="9" spans="1:10" ht="30" customHeight="1" thickBot="1" x14ac:dyDescent="0.35">
      <c r="A9" s="705" t="s">
        <v>265</v>
      </c>
      <c r="B9" s="706"/>
      <c r="C9" s="204" t="str">
        <f>'Appraisal Instrument (A1) '!C19</f>
        <v>MATROOSFONTEIN PRIMARY</v>
      </c>
      <c r="D9" s="642"/>
      <c r="E9" s="643"/>
      <c r="F9" s="644"/>
    </row>
    <row r="10" spans="1:10" ht="10.35" customHeight="1" thickBot="1" x14ac:dyDescent="0.35">
      <c r="A10" s="707"/>
      <c r="B10" s="707"/>
      <c r="C10" s="707"/>
      <c r="D10" s="707"/>
      <c r="E10" s="707"/>
      <c r="F10" s="707"/>
    </row>
    <row r="11" spans="1:10" ht="15" customHeight="1" thickBot="1" x14ac:dyDescent="0.35">
      <c r="A11" s="205" t="s">
        <v>266</v>
      </c>
      <c r="B11" s="708" t="s">
        <v>267</v>
      </c>
      <c r="C11" s="709"/>
      <c r="D11" s="175" t="s">
        <v>268</v>
      </c>
      <c r="E11" s="81" t="s">
        <v>269</v>
      </c>
      <c r="F11" s="110" t="s">
        <v>270</v>
      </c>
      <c r="J11" s="206"/>
    </row>
    <row r="12" spans="1:10" ht="15" customHeight="1" x14ac:dyDescent="0.3">
      <c r="A12" s="207">
        <v>1</v>
      </c>
      <c r="B12" s="702" t="s">
        <v>271</v>
      </c>
      <c r="C12" s="702"/>
      <c r="D12" s="208">
        <v>28</v>
      </c>
      <c r="E12" s="209">
        <f>'Appraisal Instrument (A1) '!D43</f>
        <v>21</v>
      </c>
      <c r="F12" s="210">
        <f>'Appraisal Instrument (A1) '!E43</f>
        <v>0</v>
      </c>
    </row>
    <row r="13" spans="1:10" ht="15" customHeight="1" x14ac:dyDescent="0.3">
      <c r="A13" s="211">
        <v>2</v>
      </c>
      <c r="B13" s="697" t="s">
        <v>29</v>
      </c>
      <c r="C13" s="698"/>
      <c r="D13" s="212">
        <v>48</v>
      </c>
      <c r="E13" s="213">
        <f>'Appraisal Instrument (A1) '!D73</f>
        <v>33</v>
      </c>
      <c r="F13" s="214">
        <f>'Appraisal Instrument (A1) '!E73</f>
        <v>0</v>
      </c>
    </row>
    <row r="14" spans="1:10" ht="15" customHeight="1" x14ac:dyDescent="0.3">
      <c r="A14" s="211">
        <v>3</v>
      </c>
      <c r="B14" s="697" t="s">
        <v>38</v>
      </c>
      <c r="C14" s="698"/>
      <c r="D14" s="212">
        <v>28</v>
      </c>
      <c r="E14" s="213">
        <f>'Appraisal Instrument (A1) '!D95</f>
        <v>20</v>
      </c>
      <c r="F14" s="214">
        <f>'Appraisal Instrument (A1) '!E95</f>
        <v>0</v>
      </c>
    </row>
    <row r="15" spans="1:10" ht="15" customHeight="1" x14ac:dyDescent="0.3">
      <c r="A15" s="211">
        <v>4</v>
      </c>
      <c r="B15" s="697" t="s">
        <v>272</v>
      </c>
      <c r="C15" s="698"/>
      <c r="D15" s="212">
        <v>36</v>
      </c>
      <c r="E15" s="213">
        <f>'Appraisal Instrument (A1) '!D117</f>
        <v>22</v>
      </c>
      <c r="F15" s="214">
        <f>'Appraisal Instrument (A1) '!E117</f>
        <v>0</v>
      </c>
    </row>
    <row r="16" spans="1:10" ht="15" customHeight="1" thickBot="1" x14ac:dyDescent="0.35">
      <c r="A16" s="215">
        <v>5</v>
      </c>
      <c r="B16" s="674" t="s">
        <v>50</v>
      </c>
      <c r="C16" s="675"/>
      <c r="D16" s="216">
        <v>12</v>
      </c>
      <c r="E16" s="217">
        <f>'Appraisal Instrument (A1) '!D128</f>
        <v>8</v>
      </c>
      <c r="F16" s="218">
        <f>'Appraisal Instrument (A1) '!E128</f>
        <v>0</v>
      </c>
    </row>
    <row r="17" spans="1:6" ht="15" customHeight="1" thickBot="1" x14ac:dyDescent="0.35">
      <c r="A17" s="679" t="s">
        <v>273</v>
      </c>
      <c r="B17" s="680"/>
      <c r="C17" s="680"/>
      <c r="D17" s="219">
        <f>SUM(D12:D16)</f>
        <v>152</v>
      </c>
      <c r="E17" s="220">
        <f>SUM(E12:E16)</f>
        <v>104</v>
      </c>
      <c r="F17" s="221">
        <f>SUM(F12:F16)</f>
        <v>0</v>
      </c>
    </row>
    <row r="18" spans="1:6" ht="15" customHeight="1" thickBot="1" x14ac:dyDescent="0.35">
      <c r="A18" s="679" t="s">
        <v>274</v>
      </c>
      <c r="B18" s="680"/>
      <c r="C18" s="681"/>
      <c r="D18" s="222"/>
      <c r="E18" s="117">
        <f>E17/D17</f>
        <v>0.68421052631578949</v>
      </c>
      <c r="F18" s="118">
        <f>F17/D17</f>
        <v>0</v>
      </c>
    </row>
    <row r="19" spans="1:6" ht="10.35" customHeight="1" thickBot="1" x14ac:dyDescent="0.35">
      <c r="A19" s="223"/>
      <c r="B19" s="224"/>
      <c r="C19" s="224"/>
      <c r="D19" s="223"/>
      <c r="E19" s="223"/>
      <c r="F19" s="223"/>
    </row>
    <row r="20" spans="1:6" s="225" customFormat="1" ht="15.6" x14ac:dyDescent="0.3">
      <c r="A20" s="676" t="s">
        <v>275</v>
      </c>
      <c r="B20" s="677"/>
      <c r="C20" s="677"/>
      <c r="D20" s="677"/>
      <c r="E20" s="677"/>
      <c r="F20" s="678"/>
    </row>
    <row r="21" spans="1:6" ht="60" customHeight="1" thickBot="1" x14ac:dyDescent="0.35">
      <c r="A21" s="668" t="s">
        <v>2829</v>
      </c>
      <c r="B21" s="669"/>
      <c r="C21" s="669"/>
      <c r="D21" s="669"/>
      <c r="E21" s="669"/>
      <c r="F21" s="670"/>
    </row>
    <row r="22" spans="1:6" ht="10.050000000000001" customHeight="1" thickBot="1" x14ac:dyDescent="0.35">
      <c r="A22" s="232"/>
      <c r="B22" s="232"/>
      <c r="C22" s="232"/>
      <c r="D22" s="232"/>
      <c r="E22" s="232"/>
      <c r="F22" s="232"/>
    </row>
    <row r="23" spans="1:6" x14ac:dyDescent="0.3">
      <c r="A23" s="684" t="s">
        <v>276</v>
      </c>
      <c r="B23" s="685"/>
      <c r="C23" s="685"/>
      <c r="D23" s="685"/>
      <c r="E23" s="685"/>
      <c r="F23" s="686"/>
    </row>
    <row r="24" spans="1:6" x14ac:dyDescent="0.3">
      <c r="A24" s="687" t="s">
        <v>277</v>
      </c>
      <c r="B24" s="688"/>
      <c r="C24" s="688"/>
      <c r="D24" s="688" t="s">
        <v>278</v>
      </c>
      <c r="E24" s="688"/>
      <c r="F24" s="689"/>
    </row>
    <row r="25" spans="1:6" ht="30" customHeight="1" thickBot="1" x14ac:dyDescent="0.35">
      <c r="A25" s="690" t="s">
        <v>370</v>
      </c>
      <c r="B25" s="691"/>
      <c r="C25" s="691"/>
      <c r="D25" s="691" t="s">
        <v>279</v>
      </c>
      <c r="E25" s="691"/>
      <c r="F25" s="692"/>
    </row>
    <row r="26" spans="1:6" ht="10.050000000000001" customHeight="1" thickBot="1" x14ac:dyDescent="0.35">
      <c r="A26" s="226"/>
      <c r="B26" s="226"/>
      <c r="C26" s="226"/>
      <c r="D26" s="226"/>
      <c r="E26" s="226"/>
      <c r="F26" s="226"/>
    </row>
    <row r="27" spans="1:6" s="225" customFormat="1" ht="15.6" x14ac:dyDescent="0.3">
      <c r="A27" s="671" t="s">
        <v>329</v>
      </c>
      <c r="B27" s="672"/>
      <c r="C27" s="672"/>
      <c r="D27" s="672"/>
      <c r="E27" s="672"/>
      <c r="F27" s="673"/>
    </row>
    <row r="28" spans="1:6" s="1" customFormat="1" ht="15" thickBot="1" x14ac:dyDescent="0.35">
      <c r="A28" s="665" t="s">
        <v>282</v>
      </c>
      <c r="B28" s="666"/>
      <c r="C28" s="666"/>
      <c r="D28" s="666"/>
      <c r="E28" s="666"/>
      <c r="F28" s="667"/>
    </row>
    <row r="29" spans="1:6" ht="14.55" customHeight="1" x14ac:dyDescent="0.3">
      <c r="A29" s="682" t="s">
        <v>283</v>
      </c>
      <c r="B29" s="683"/>
      <c r="C29" s="655" t="str">
        <f>'Appraisal Instrument (A1) '!C9</f>
        <v>AFRICA</v>
      </c>
      <c r="D29" s="656"/>
      <c r="E29" s="657" t="str">
        <f>'Appraisal Instrument (A1) '!E9</f>
        <v>CHARMAINE PAIGE</v>
      </c>
      <c r="F29" s="658"/>
    </row>
    <row r="30" spans="1:6" ht="30" customHeight="1" x14ac:dyDescent="0.3">
      <c r="A30" s="649" t="s">
        <v>284</v>
      </c>
      <c r="B30" s="650"/>
      <c r="C30" s="609"/>
      <c r="D30" s="610"/>
      <c r="E30" s="611" t="s">
        <v>2828</v>
      </c>
      <c r="F30" s="612"/>
    </row>
    <row r="31" spans="1:6" ht="14.55" customHeight="1" x14ac:dyDescent="0.3">
      <c r="A31" s="649" t="s">
        <v>285</v>
      </c>
      <c r="B31" s="650"/>
      <c r="C31" s="647" t="str">
        <f>'Appraisal Instrument (A1) '!C15</f>
        <v>SNYMAN</v>
      </c>
      <c r="D31" s="648"/>
      <c r="E31" s="645" t="str">
        <f>'Appraisal Instrument (A1) '!E15</f>
        <v>MELENIE</v>
      </c>
      <c r="F31" s="646"/>
    </row>
    <row r="32" spans="1:6" ht="30" customHeight="1" x14ac:dyDescent="0.3">
      <c r="A32" s="649" t="s">
        <v>284</v>
      </c>
      <c r="B32" s="650"/>
      <c r="C32" s="609"/>
      <c r="D32" s="610"/>
      <c r="E32" s="611"/>
      <c r="F32" s="612"/>
    </row>
    <row r="33" spans="1:6" ht="14.55" customHeight="1" x14ac:dyDescent="0.3">
      <c r="A33" s="649" t="s">
        <v>286</v>
      </c>
      <c r="B33" s="650"/>
      <c r="C33" s="609"/>
      <c r="D33" s="610"/>
      <c r="E33" s="613"/>
      <c r="F33" s="614"/>
    </row>
    <row r="34" spans="1:6" ht="30" customHeight="1" thickBot="1" x14ac:dyDescent="0.35">
      <c r="A34" s="652" t="s">
        <v>287</v>
      </c>
      <c r="B34" s="653"/>
      <c r="C34" s="624"/>
      <c r="D34" s="625"/>
      <c r="E34" s="626"/>
      <c r="F34" s="627"/>
    </row>
    <row r="35" spans="1:6" ht="10.35" customHeight="1" thickBot="1" x14ac:dyDescent="0.35">
      <c r="A35" s="664"/>
      <c r="B35" s="664"/>
      <c r="C35" s="664"/>
      <c r="D35" s="664"/>
      <c r="E35" s="664"/>
      <c r="F35" s="664"/>
    </row>
    <row r="36" spans="1:6" ht="15" thickBot="1" x14ac:dyDescent="0.35">
      <c r="A36" s="659" t="s">
        <v>288</v>
      </c>
      <c r="B36" s="660"/>
      <c r="C36" s="660"/>
      <c r="D36" s="660"/>
      <c r="E36" s="660"/>
      <c r="F36" s="661"/>
    </row>
    <row r="37" spans="1:6" ht="14.55" customHeight="1" x14ac:dyDescent="0.3">
      <c r="A37" s="662" t="s">
        <v>283</v>
      </c>
      <c r="B37" s="663"/>
      <c r="C37" s="655" t="str">
        <f>'Composite Score Sheet (A2)'!C6</f>
        <v>AFRICA</v>
      </c>
      <c r="D37" s="656"/>
      <c r="E37" s="657" t="str">
        <f>E29</f>
        <v>CHARMAINE PAIGE</v>
      </c>
      <c r="F37" s="658"/>
    </row>
    <row r="38" spans="1:6" ht="30" customHeight="1" x14ac:dyDescent="0.3">
      <c r="A38" s="607" t="s">
        <v>284</v>
      </c>
      <c r="B38" s="608"/>
      <c r="C38" s="609"/>
      <c r="D38" s="610"/>
      <c r="E38" s="611"/>
      <c r="F38" s="612"/>
    </row>
    <row r="39" spans="1:6" ht="14.55" customHeight="1" x14ac:dyDescent="0.3">
      <c r="A39" s="607" t="s">
        <v>285</v>
      </c>
      <c r="B39" s="608"/>
      <c r="C39" s="647" t="str">
        <f>C31</f>
        <v>SNYMAN</v>
      </c>
      <c r="D39" s="648"/>
      <c r="E39" s="645" t="str">
        <f>E31</f>
        <v>MELENIE</v>
      </c>
      <c r="F39" s="646"/>
    </row>
    <row r="40" spans="1:6" ht="30" customHeight="1" x14ac:dyDescent="0.3">
      <c r="A40" s="607" t="s">
        <v>284</v>
      </c>
      <c r="B40" s="608"/>
      <c r="C40" s="609"/>
      <c r="D40" s="610"/>
      <c r="E40" s="611"/>
      <c r="F40" s="612"/>
    </row>
    <row r="41" spans="1:6" ht="14.55" customHeight="1" x14ac:dyDescent="0.3">
      <c r="A41" s="607" t="s">
        <v>286</v>
      </c>
      <c r="B41" s="608"/>
      <c r="C41" s="609"/>
      <c r="D41" s="610"/>
      <c r="E41" s="613"/>
      <c r="F41" s="614"/>
    </row>
    <row r="42" spans="1:6" ht="30" customHeight="1" thickBot="1" x14ac:dyDescent="0.35">
      <c r="A42" s="622" t="s">
        <v>287</v>
      </c>
      <c r="B42" s="623"/>
      <c r="C42" s="624"/>
      <c r="D42" s="625"/>
      <c r="E42" s="626"/>
      <c r="F42" s="627"/>
    </row>
    <row r="43" spans="1:6" ht="10.35" customHeight="1" thickBot="1" x14ac:dyDescent="0.35">
      <c r="A43" s="635"/>
      <c r="B43" s="635"/>
      <c r="C43" s="635"/>
      <c r="D43" s="635"/>
      <c r="E43" s="635"/>
      <c r="F43" s="635"/>
    </row>
    <row r="44" spans="1:6" x14ac:dyDescent="0.3">
      <c r="A44" s="632" t="s">
        <v>289</v>
      </c>
      <c r="B44" s="633"/>
      <c r="C44" s="633"/>
      <c r="D44" s="633"/>
      <c r="E44" s="633"/>
      <c r="F44" s="634"/>
    </row>
    <row r="45" spans="1:6" x14ac:dyDescent="0.3">
      <c r="A45" s="654" t="s">
        <v>290</v>
      </c>
      <c r="B45" s="616"/>
      <c r="C45" s="628" t="str">
        <f>'Appraisal Instrument (A1) '!E20</f>
        <v>MS D. MARTIN</v>
      </c>
      <c r="D45" s="628"/>
      <c r="E45" s="628"/>
      <c r="F45" s="629"/>
    </row>
    <row r="46" spans="1:6" ht="30" customHeight="1" x14ac:dyDescent="0.3">
      <c r="A46" s="615" t="s">
        <v>256</v>
      </c>
      <c r="B46" s="616"/>
      <c r="C46" s="617"/>
      <c r="D46" s="617"/>
      <c r="E46" s="620"/>
      <c r="F46" s="621"/>
    </row>
    <row r="47" spans="1:6" ht="30" customHeight="1" thickBot="1" x14ac:dyDescent="0.35">
      <c r="A47" s="630" t="s">
        <v>257</v>
      </c>
      <c r="B47" s="631"/>
      <c r="C47" s="651"/>
      <c r="D47" s="651"/>
      <c r="E47" s="618"/>
      <c r="F47" s="619"/>
    </row>
    <row r="48" spans="1:6" x14ac:dyDescent="0.3">
      <c r="A48" s="636" t="s">
        <v>212</v>
      </c>
      <c r="B48" s="636"/>
      <c r="C48" s="636"/>
      <c r="D48" s="636"/>
      <c r="E48" s="636"/>
      <c r="F48" s="636"/>
    </row>
  </sheetData>
  <sheetProtection algorithmName="SHA-512" hashValue="j0Nbf+8f7ShD7oiYUq2zulrbv5lHs5L04juymqkUFjjp8j6n1sz3sxhIoqEcfdbrx7qhcHoRYZ4KpuArKVloBw==" saltValue="d+26It+QtNlG52og/9Pa+w==" spinCount="100000" sheet="1" objects="1" scenarios="1"/>
  <mergeCells count="77">
    <mergeCell ref="A2:D2"/>
    <mergeCell ref="E2:F2"/>
    <mergeCell ref="B13:C13"/>
    <mergeCell ref="B14:C14"/>
    <mergeCell ref="B15:C15"/>
    <mergeCell ref="A3:F3"/>
    <mergeCell ref="A4:B4"/>
    <mergeCell ref="B12:C12"/>
    <mergeCell ref="A6:B6"/>
    <mergeCell ref="A8:B8"/>
    <mergeCell ref="A9:B9"/>
    <mergeCell ref="A10:F10"/>
    <mergeCell ref="B11:C11"/>
    <mergeCell ref="A7:B7"/>
    <mergeCell ref="A5:B5"/>
    <mergeCell ref="B16:C16"/>
    <mergeCell ref="A20:F20"/>
    <mergeCell ref="A17:C17"/>
    <mergeCell ref="A18:C18"/>
    <mergeCell ref="A29:B29"/>
    <mergeCell ref="A23:F23"/>
    <mergeCell ref="A24:C24"/>
    <mergeCell ref="D24:F24"/>
    <mergeCell ref="A25:C25"/>
    <mergeCell ref="D25:F25"/>
    <mergeCell ref="A30:B30"/>
    <mergeCell ref="A28:F28"/>
    <mergeCell ref="A21:F21"/>
    <mergeCell ref="A27:F27"/>
    <mergeCell ref="C29:D29"/>
    <mergeCell ref="E29:F29"/>
    <mergeCell ref="E30:F30"/>
    <mergeCell ref="A38:B38"/>
    <mergeCell ref="C38:D38"/>
    <mergeCell ref="E38:F38"/>
    <mergeCell ref="A39:B39"/>
    <mergeCell ref="C39:D39"/>
    <mergeCell ref="E39:F39"/>
    <mergeCell ref="E34:F34"/>
    <mergeCell ref="C37:D37"/>
    <mergeCell ref="E37:F37"/>
    <mergeCell ref="A36:F36"/>
    <mergeCell ref="A37:B37"/>
    <mergeCell ref="A35:F35"/>
    <mergeCell ref="A48:F48"/>
    <mergeCell ref="D4:F9"/>
    <mergeCell ref="E33:F33"/>
    <mergeCell ref="C33:D33"/>
    <mergeCell ref="E31:F31"/>
    <mergeCell ref="C31:D31"/>
    <mergeCell ref="A33:B33"/>
    <mergeCell ref="C30:D30"/>
    <mergeCell ref="C47:D47"/>
    <mergeCell ref="A34:B34"/>
    <mergeCell ref="A31:B31"/>
    <mergeCell ref="A32:B32"/>
    <mergeCell ref="C34:D34"/>
    <mergeCell ref="C32:D32"/>
    <mergeCell ref="A45:B45"/>
    <mergeCell ref="E32:F32"/>
    <mergeCell ref="A46:B46"/>
    <mergeCell ref="C46:D46"/>
    <mergeCell ref="E47:F47"/>
    <mergeCell ref="E46:F46"/>
    <mergeCell ref="A42:B42"/>
    <mergeCell ref="C42:D42"/>
    <mergeCell ref="E42:F42"/>
    <mergeCell ref="C45:F45"/>
    <mergeCell ref="A47:B47"/>
    <mergeCell ref="A44:F44"/>
    <mergeCell ref="A43:F43"/>
    <mergeCell ref="A40:B40"/>
    <mergeCell ref="C40:D40"/>
    <mergeCell ref="E40:F40"/>
    <mergeCell ref="A41:B41"/>
    <mergeCell ref="C41:D41"/>
    <mergeCell ref="E41:F41"/>
  </mergeCells>
  <conditionalFormatting sqref="A25:F25">
    <cfRule type="containsBlanks" dxfId="12" priority="2">
      <formula>LEN(TRIM(A25))=0</formula>
    </cfRule>
    <cfRule type="notContainsBlanks" dxfId="11" priority="31">
      <formula>LEN(TRIM(A25))&gt;0</formula>
    </cfRule>
  </conditionalFormatting>
  <dataValidations count="1">
    <dataValidation allowBlank="1" showInputMessage="1" showErrorMessage="1" prompt="Percentage = Educator Score / 152 * 100." sqref="A18" xr:uid="{00000000-0002-0000-0200-000000000000}"/>
  </dataValidations>
  <pageMargins left="0.31496062992125984" right="0.31496062992125984" top="0.31496062992125984" bottom="0.31496062992125984" header="0.31496062992125984" footer="0.31496062992125984"/>
  <pageSetup scale="80" orientation="portrait" r:id="rId1"/>
  <extLst>
    <ext xmlns:x14="http://schemas.microsoft.com/office/spreadsheetml/2009/9/main" uri="{78C0D931-6437-407d-A8EE-F0AAD7539E65}">
      <x14:conditionalFormattings>
        <x14:conditionalFormatting xmlns:xm="http://schemas.microsoft.com/office/excel/2006/main">
          <x14:cfRule type="cellIs" priority="28" operator="equal" id="{00000000-000E-0000-0300-000001000000}">
            <xm:f>LISTS!$E$6</xm:f>
            <x14:dxf>
              <fill>
                <patternFill>
                  <bgColor rgb="FF92D050"/>
                </patternFill>
              </fill>
            </x14:dxf>
          </x14:cfRule>
          <x14:cfRule type="cellIs" priority="29" operator="equal" id="{00000000-000E-0000-0300-000002000000}">
            <xm:f>LISTS!$E$5</xm:f>
            <x14:dxf>
              <fill>
                <patternFill>
                  <bgColor rgb="FFFFFF00"/>
                </patternFill>
              </fill>
            </x14:dxf>
          </x14:cfRule>
          <x14:cfRule type="cellIs" priority="30" operator="equal" id="{00000000-000E-0000-0300-000003000000}">
            <xm:f>LISTS!$E$7</xm:f>
            <x14:dxf>
              <font>
                <color rgb="FFFFFF00"/>
              </font>
              <fill>
                <patternFill>
                  <bgColor rgb="FFFF0000"/>
                </patternFill>
              </fill>
            </x14:dxf>
          </x14:cfRule>
          <xm:sqref>A27:F27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DC8C12FE-66B0-4DBD-9C52-9347E3E29532}">
          <x14:formula1>
            <xm:f>TN!$F$2:$F$89</xm:f>
          </x14:formula1>
          <xm:sqref>D25:D26 A26</xm:sqref>
        </x14:dataValidation>
        <x14:dataValidation type="list" allowBlank="1" showInputMessage="1" showErrorMessage="1" xr:uid="{00000000-0002-0000-0200-000001000000}">
          <x14:formula1>
            <xm:f>LISTS!$E$5:$E$7</xm:f>
          </x14:formula1>
          <xm:sqref>A27:F27</xm:sqref>
        </x14:dataValidation>
        <x14:dataValidation type="list" allowBlank="1" showInputMessage="1" showErrorMessage="1" xr:uid="{A90EF658-3A94-4E18-8D7D-BC4ADB3ADEE8}">
          <x14:formula1>
            <xm:f>TN!$F$2:$F$75</xm:f>
          </x14:formula1>
          <xm:sqref>A25:C25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5D246-FB43-49CA-AFE8-6432B352A0D7}">
  <sheetPr>
    <tabColor theme="5" tint="0.39997558519241921"/>
    <pageSetUpPr fitToPage="1"/>
  </sheetPr>
  <dimension ref="B1:H45"/>
  <sheetViews>
    <sheetView view="pageBreakPreview" topLeftCell="B1" zoomScale="116" zoomScaleNormal="120" zoomScaleSheetLayoutView="116" workbookViewId="0">
      <selection activeCell="E1" sqref="E1"/>
    </sheetView>
  </sheetViews>
  <sheetFormatPr defaultColWidth="8.77734375" defaultRowHeight="14.4" x14ac:dyDescent="0.3"/>
  <cols>
    <col min="1" max="1" width="2.77734375" style="249" customWidth="1"/>
    <col min="2" max="2" width="5.5546875" style="248" customWidth="1"/>
    <col min="3" max="3" width="80.77734375" style="249" customWidth="1"/>
    <col min="4" max="4" width="18.77734375" style="249" customWidth="1"/>
    <col min="5" max="6" width="19.5546875" style="249" customWidth="1"/>
    <col min="7" max="7" width="25.5546875" style="249" bestFit="1" customWidth="1"/>
    <col min="8" max="8" width="25.5546875" style="249" customWidth="1"/>
    <col min="9" max="13" width="8.77734375" style="249" customWidth="1"/>
    <col min="14" max="16384" width="8.77734375" style="249"/>
  </cols>
  <sheetData>
    <row r="1" spans="2:8" ht="15" thickBot="1" x14ac:dyDescent="0.35"/>
    <row r="2" spans="2:8" ht="14.55" customHeight="1" x14ac:dyDescent="0.3">
      <c r="B2" s="728" t="s">
        <v>291</v>
      </c>
      <c r="C2" s="729"/>
      <c r="D2" s="729"/>
      <c r="E2" s="734" t="e" vm="1">
        <v>#VALUE!</v>
      </c>
      <c r="F2" s="735"/>
      <c r="H2" s="31"/>
    </row>
    <row r="3" spans="2:8" ht="14.55" customHeight="1" x14ac:dyDescent="0.3">
      <c r="B3" s="730"/>
      <c r="C3" s="731"/>
      <c r="D3" s="731"/>
      <c r="E3" s="736"/>
      <c r="F3" s="737"/>
      <c r="H3" s="31"/>
    </row>
    <row r="4" spans="2:8" ht="14.55" customHeight="1" thickBot="1" x14ac:dyDescent="0.35">
      <c r="B4" s="732"/>
      <c r="C4" s="733"/>
      <c r="D4" s="733"/>
      <c r="E4" s="738"/>
      <c r="F4" s="739"/>
    </row>
    <row r="5" spans="2:8" ht="10.050000000000001" customHeight="1" thickBot="1" x14ac:dyDescent="0.35"/>
    <row r="6" spans="2:8" s="31" customFormat="1" ht="16.2" thickBot="1" x14ac:dyDescent="0.35">
      <c r="B6" s="740" t="s">
        <v>292</v>
      </c>
      <c r="C6" s="741"/>
      <c r="D6" s="741"/>
      <c r="E6" s="741"/>
      <c r="F6" s="742"/>
    </row>
    <row r="7" spans="2:8" s="31" customFormat="1" ht="10.050000000000001" customHeight="1" x14ac:dyDescent="0.3">
      <c r="B7" s="250"/>
      <c r="C7" s="251"/>
      <c r="D7" s="251"/>
    </row>
    <row r="8" spans="2:8" s="31" customFormat="1" ht="15" x14ac:dyDescent="0.3">
      <c r="B8" s="743" t="s">
        <v>293</v>
      </c>
      <c r="C8" s="743"/>
      <c r="D8" s="743"/>
      <c r="E8" s="743"/>
      <c r="F8" s="743"/>
    </row>
    <row r="9" spans="2:8" s="31" customFormat="1" ht="10.050000000000001" customHeight="1" thickBot="1" x14ac:dyDescent="0.35">
      <c r="B9" s="252"/>
      <c r="C9" s="252"/>
      <c r="D9" s="252"/>
      <c r="E9" s="252"/>
      <c r="F9" s="252"/>
    </row>
    <row r="10" spans="2:8" s="31" customFormat="1" ht="16.2" thickBot="1" x14ac:dyDescent="0.35">
      <c r="B10" s="250"/>
      <c r="C10" s="253"/>
      <c r="D10" s="253"/>
      <c r="E10" s="262" t="s">
        <v>129</v>
      </c>
      <c r="F10" s="263" t="s">
        <v>130</v>
      </c>
    </row>
    <row r="11" spans="2:8" s="31" customFormat="1" ht="25.05" customHeight="1" thickBot="1" x14ac:dyDescent="0.35">
      <c r="B11" s="257">
        <v>1</v>
      </c>
      <c r="C11" s="726" t="s">
        <v>294</v>
      </c>
      <c r="D11" s="727"/>
      <c r="E11" s="269" t="s">
        <v>295</v>
      </c>
      <c r="F11" s="270" t="s">
        <v>295</v>
      </c>
    </row>
    <row r="12" spans="2:8" s="31" customFormat="1" ht="30" customHeight="1" x14ac:dyDescent="0.3">
      <c r="B12" s="259">
        <v>1.1000000000000001</v>
      </c>
      <c r="C12" s="744" t="s">
        <v>296</v>
      </c>
      <c r="D12" s="745"/>
      <c r="E12" s="271" t="s">
        <v>337</v>
      </c>
      <c r="F12" s="229" t="s">
        <v>297</v>
      </c>
    </row>
    <row r="13" spans="2:8" s="31" customFormat="1" ht="30" customHeight="1" x14ac:dyDescent="0.3">
      <c r="B13" s="254">
        <v>1.2</v>
      </c>
      <c r="C13" s="746" t="s">
        <v>298</v>
      </c>
      <c r="D13" s="747"/>
      <c r="E13" s="264" t="s">
        <v>337</v>
      </c>
      <c r="F13" s="168" t="s">
        <v>297</v>
      </c>
    </row>
    <row r="14" spans="2:8" s="31" customFormat="1" ht="30" customHeight="1" x14ac:dyDescent="0.3">
      <c r="B14" s="254">
        <v>1.3</v>
      </c>
      <c r="C14" s="748" t="s">
        <v>299</v>
      </c>
      <c r="D14" s="749"/>
      <c r="E14" s="264" t="s">
        <v>337</v>
      </c>
      <c r="F14" s="168" t="s">
        <v>297</v>
      </c>
    </row>
    <row r="15" spans="2:8" s="31" customFormat="1" ht="30" customHeight="1" thickBot="1" x14ac:dyDescent="0.35">
      <c r="B15" s="255">
        <v>1.4</v>
      </c>
      <c r="C15" s="750" t="s">
        <v>300</v>
      </c>
      <c r="D15" s="751"/>
      <c r="E15" s="265" t="s">
        <v>337</v>
      </c>
      <c r="F15" s="169" t="s">
        <v>297</v>
      </c>
    </row>
    <row r="16" spans="2:8" s="31" customFormat="1" ht="10.050000000000001" customHeight="1" thickBot="1" x14ac:dyDescent="0.35">
      <c r="B16" s="250"/>
    </row>
    <row r="17" spans="2:6" s="31" customFormat="1" ht="25.05" customHeight="1" thickBot="1" x14ac:dyDescent="0.35">
      <c r="B17" s="257">
        <v>2</v>
      </c>
      <c r="C17" s="726" t="s">
        <v>301</v>
      </c>
      <c r="D17" s="727"/>
      <c r="E17" s="266" t="s">
        <v>295</v>
      </c>
      <c r="F17" s="258" t="s">
        <v>295</v>
      </c>
    </row>
    <row r="18" spans="2:6" s="31" customFormat="1" ht="30" customHeight="1" x14ac:dyDescent="0.3">
      <c r="B18" s="259">
        <v>2.1</v>
      </c>
      <c r="C18" s="744" t="s">
        <v>302</v>
      </c>
      <c r="D18" s="745"/>
      <c r="E18" s="271" t="s">
        <v>337</v>
      </c>
      <c r="F18" s="229" t="s">
        <v>297</v>
      </c>
    </row>
    <row r="19" spans="2:6" s="31" customFormat="1" ht="30" customHeight="1" x14ac:dyDescent="0.3">
      <c r="B19" s="254">
        <v>2.2000000000000002</v>
      </c>
      <c r="C19" s="748" t="s">
        <v>303</v>
      </c>
      <c r="D19" s="749"/>
      <c r="E19" s="264" t="s">
        <v>337</v>
      </c>
      <c r="F19" s="168" t="s">
        <v>297</v>
      </c>
    </row>
    <row r="20" spans="2:6" s="31" customFormat="1" ht="30" customHeight="1" x14ac:dyDescent="0.3">
      <c r="B20" s="254">
        <v>2.2999999999999998</v>
      </c>
      <c r="C20" s="748" t="s">
        <v>304</v>
      </c>
      <c r="D20" s="749"/>
      <c r="E20" s="264" t="s">
        <v>337</v>
      </c>
      <c r="F20" s="168" t="s">
        <v>297</v>
      </c>
    </row>
    <row r="21" spans="2:6" s="31" customFormat="1" ht="30" customHeight="1" x14ac:dyDescent="0.3">
      <c r="B21" s="254">
        <v>2.4</v>
      </c>
      <c r="C21" s="748" t="s">
        <v>305</v>
      </c>
      <c r="D21" s="749"/>
      <c r="E21" s="264" t="s">
        <v>337</v>
      </c>
      <c r="F21" s="168" t="s">
        <v>297</v>
      </c>
    </row>
    <row r="22" spans="2:6" s="31" customFormat="1" ht="30" customHeight="1" thickBot="1" x14ac:dyDescent="0.35">
      <c r="B22" s="255">
        <v>2.5</v>
      </c>
      <c r="C22" s="750" t="s">
        <v>306</v>
      </c>
      <c r="D22" s="751"/>
      <c r="E22" s="265" t="s">
        <v>337</v>
      </c>
      <c r="F22" s="169" t="s">
        <v>297</v>
      </c>
    </row>
    <row r="23" spans="2:6" s="31" customFormat="1" ht="10.050000000000001" customHeight="1" thickBot="1" x14ac:dyDescent="0.35">
      <c r="B23" s="250"/>
      <c r="C23" s="256"/>
      <c r="D23" s="256"/>
      <c r="E23" s="250"/>
      <c r="F23" s="250"/>
    </row>
    <row r="24" spans="2:6" s="31" customFormat="1" ht="25.05" customHeight="1" thickBot="1" x14ac:dyDescent="0.35">
      <c r="B24" s="257">
        <v>3</v>
      </c>
      <c r="C24" s="752" t="s">
        <v>307</v>
      </c>
      <c r="D24" s="753"/>
      <c r="E24" s="266" t="s">
        <v>308</v>
      </c>
      <c r="F24" s="258" t="s">
        <v>308</v>
      </c>
    </row>
    <row r="25" spans="2:6" s="31" customFormat="1" ht="30" customHeight="1" x14ac:dyDescent="0.3">
      <c r="B25" s="259">
        <v>3.1</v>
      </c>
      <c r="C25" s="744" t="s">
        <v>309</v>
      </c>
      <c r="D25" s="745"/>
      <c r="E25" s="271" t="s">
        <v>337</v>
      </c>
      <c r="F25" s="229" t="s">
        <v>297</v>
      </c>
    </row>
    <row r="26" spans="2:6" s="31" customFormat="1" ht="30" customHeight="1" thickBot="1" x14ac:dyDescent="0.35">
      <c r="B26" s="255">
        <v>3.2</v>
      </c>
      <c r="C26" s="750" t="s">
        <v>310</v>
      </c>
      <c r="D26" s="751"/>
      <c r="E26" s="265" t="s">
        <v>337</v>
      </c>
      <c r="F26" s="169" t="s">
        <v>297</v>
      </c>
    </row>
    <row r="27" spans="2:6" s="31" customFormat="1" ht="10.050000000000001" customHeight="1" thickBot="1" x14ac:dyDescent="0.35">
      <c r="B27" s="250"/>
      <c r="C27" s="256"/>
      <c r="D27" s="256"/>
      <c r="E27" s="250"/>
      <c r="F27" s="250"/>
    </row>
    <row r="28" spans="2:6" s="31" customFormat="1" ht="25.05" customHeight="1" thickBot="1" x14ac:dyDescent="0.35">
      <c r="B28" s="257">
        <v>4</v>
      </c>
      <c r="C28" s="726" t="s">
        <v>311</v>
      </c>
      <c r="D28" s="727"/>
      <c r="E28" s="266" t="s">
        <v>295</v>
      </c>
      <c r="F28" s="258" t="s">
        <v>295</v>
      </c>
    </row>
    <row r="29" spans="2:6" s="31" customFormat="1" ht="30" customHeight="1" x14ac:dyDescent="0.3">
      <c r="B29" s="259">
        <v>4.0999999999999996</v>
      </c>
      <c r="C29" s="744" t="s">
        <v>312</v>
      </c>
      <c r="D29" s="745"/>
      <c r="E29" s="271" t="s">
        <v>337</v>
      </c>
      <c r="F29" s="229" t="s">
        <v>297</v>
      </c>
    </row>
    <row r="30" spans="2:6" s="31" customFormat="1" ht="30" customHeight="1" x14ac:dyDescent="0.3">
      <c r="B30" s="254">
        <v>4.2</v>
      </c>
      <c r="C30" s="748" t="s">
        <v>313</v>
      </c>
      <c r="D30" s="749"/>
      <c r="E30" s="264" t="s">
        <v>337</v>
      </c>
      <c r="F30" s="168" t="s">
        <v>297</v>
      </c>
    </row>
    <row r="31" spans="2:6" s="31" customFormat="1" ht="30" customHeight="1" x14ac:dyDescent="0.3">
      <c r="B31" s="254">
        <v>4.3</v>
      </c>
      <c r="C31" s="748" t="s">
        <v>306</v>
      </c>
      <c r="D31" s="749"/>
      <c r="E31" s="264" t="s">
        <v>337</v>
      </c>
      <c r="F31" s="168" t="s">
        <v>297</v>
      </c>
    </row>
    <row r="32" spans="2:6" s="31" customFormat="1" ht="30" customHeight="1" thickBot="1" x14ac:dyDescent="0.35">
      <c r="B32" s="255">
        <v>4.4000000000000004</v>
      </c>
      <c r="C32" s="750" t="s">
        <v>314</v>
      </c>
      <c r="D32" s="751"/>
      <c r="E32" s="265" t="s">
        <v>337</v>
      </c>
      <c r="F32" s="169" t="s">
        <v>297</v>
      </c>
    </row>
    <row r="33" spans="2:6" ht="10.050000000000001" customHeight="1" thickBot="1" x14ac:dyDescent="0.35"/>
    <row r="34" spans="2:6" ht="25.05" customHeight="1" thickBot="1" x14ac:dyDescent="0.35">
      <c r="B34" s="754" t="s">
        <v>315</v>
      </c>
      <c r="C34" s="755"/>
      <c r="D34" s="755"/>
      <c r="E34" s="755"/>
      <c r="F34" s="756"/>
    </row>
    <row r="35" spans="2:6" x14ac:dyDescent="0.3">
      <c r="B35" s="722" t="s">
        <v>283</v>
      </c>
      <c r="C35" s="715"/>
      <c r="D35" s="715" t="str">
        <f>'Appraisal Instrument (A1) '!C9</f>
        <v>AFRICA</v>
      </c>
      <c r="E35" s="715"/>
      <c r="F35" s="260" t="str">
        <f>'Appraisal Instrument (A1) '!E9</f>
        <v>CHARMAINE PAIGE</v>
      </c>
    </row>
    <row r="36" spans="2:6" ht="30" customHeight="1" x14ac:dyDescent="0.3">
      <c r="B36" s="723" t="s">
        <v>316</v>
      </c>
      <c r="C36" s="717"/>
      <c r="D36" s="716"/>
      <c r="E36" s="716"/>
      <c r="F36" s="246"/>
    </row>
    <row r="37" spans="2:6" x14ac:dyDescent="0.3">
      <c r="B37" s="723" t="s">
        <v>285</v>
      </c>
      <c r="C37" s="717"/>
      <c r="D37" s="717" t="str">
        <f>'Appraisal Instrument (A1) '!C15</f>
        <v>SNYMAN</v>
      </c>
      <c r="E37" s="717"/>
      <c r="F37" s="261" t="str">
        <f>'Appraisal Instrument (A1) '!E15</f>
        <v>MELENIE</v>
      </c>
    </row>
    <row r="38" spans="2:6" ht="30" customHeight="1" thickBot="1" x14ac:dyDescent="0.35">
      <c r="B38" s="724" t="s">
        <v>316</v>
      </c>
      <c r="C38" s="725"/>
      <c r="D38" s="718"/>
      <c r="E38" s="718"/>
      <c r="F38" s="247"/>
    </row>
    <row r="39" spans="2:6" ht="10.050000000000001" customHeight="1" thickBot="1" x14ac:dyDescent="0.35"/>
    <row r="40" spans="2:6" ht="25.05" customHeight="1" thickBot="1" x14ac:dyDescent="0.35">
      <c r="B40" s="719" t="s">
        <v>317</v>
      </c>
      <c r="C40" s="720"/>
      <c r="D40" s="720"/>
      <c r="E40" s="720"/>
      <c r="F40" s="721"/>
    </row>
    <row r="41" spans="2:6" x14ac:dyDescent="0.3">
      <c r="B41" s="722" t="s">
        <v>283</v>
      </c>
      <c r="C41" s="715"/>
      <c r="D41" s="715" t="str">
        <f>'Appraisal Instrument (A1) '!C9</f>
        <v>AFRICA</v>
      </c>
      <c r="E41" s="715"/>
      <c r="F41" s="260" t="str">
        <f>'Appraisal Instrument (A1) '!E9</f>
        <v>CHARMAINE PAIGE</v>
      </c>
    </row>
    <row r="42" spans="2:6" ht="30" customHeight="1" x14ac:dyDescent="0.3">
      <c r="B42" s="723" t="s">
        <v>316</v>
      </c>
      <c r="C42" s="717"/>
      <c r="D42" s="716"/>
      <c r="E42" s="716"/>
      <c r="F42" s="246"/>
    </row>
    <row r="43" spans="2:6" x14ac:dyDescent="0.3">
      <c r="B43" s="723" t="s">
        <v>285</v>
      </c>
      <c r="C43" s="717"/>
      <c r="D43" s="717" t="str">
        <f>'Appraisal Instrument (A1) '!C15</f>
        <v>SNYMAN</v>
      </c>
      <c r="E43" s="717"/>
      <c r="F43" s="261" t="str">
        <f>'Appraisal Instrument (A1) '!E15</f>
        <v>MELENIE</v>
      </c>
    </row>
    <row r="44" spans="2:6" ht="30" customHeight="1" thickBot="1" x14ac:dyDescent="0.35">
      <c r="B44" s="724" t="s">
        <v>316</v>
      </c>
      <c r="C44" s="725"/>
      <c r="D44" s="718"/>
      <c r="E44" s="718"/>
      <c r="F44" s="247"/>
    </row>
    <row r="45" spans="2:6" x14ac:dyDescent="0.3">
      <c r="B45" s="714" t="s">
        <v>212</v>
      </c>
      <c r="C45" s="714"/>
      <c r="D45" s="714"/>
      <c r="E45" s="714"/>
      <c r="F45" s="714"/>
    </row>
  </sheetData>
  <sheetProtection algorithmName="SHA-512" hashValue="xRZAhKlSonnCoBRKXL9d1agrXHIm+LgUTC041EogUDvMgMKsr3hIIHJb+jxKs0zUSZa4BxalBG8F77q+b8f9HQ==" saltValue="db8cbEJcZj7kWwl74EVL5w==" spinCount="100000" sheet="1" objects="1" scenarios="1"/>
  <mergeCells count="42">
    <mergeCell ref="B38:C38"/>
    <mergeCell ref="B35:C35"/>
    <mergeCell ref="B36:C36"/>
    <mergeCell ref="B34:F34"/>
    <mergeCell ref="D35:E35"/>
    <mergeCell ref="B37:C37"/>
    <mergeCell ref="D36:E36"/>
    <mergeCell ref="D37:E37"/>
    <mergeCell ref="D38:E38"/>
    <mergeCell ref="C31:D31"/>
    <mergeCell ref="C32:D32"/>
    <mergeCell ref="C25:D25"/>
    <mergeCell ref="C26:D26"/>
    <mergeCell ref="C28:D28"/>
    <mergeCell ref="C29:D29"/>
    <mergeCell ref="C30:D30"/>
    <mergeCell ref="C18:D18"/>
    <mergeCell ref="C19:D19"/>
    <mergeCell ref="C20:D20"/>
    <mergeCell ref="C24:D24"/>
    <mergeCell ref="C22:D22"/>
    <mergeCell ref="C21:D21"/>
    <mergeCell ref="C12:D12"/>
    <mergeCell ref="C13:D13"/>
    <mergeCell ref="C14:D14"/>
    <mergeCell ref="C15:D15"/>
    <mergeCell ref="C17:D17"/>
    <mergeCell ref="C11:D11"/>
    <mergeCell ref="B2:D4"/>
    <mergeCell ref="E2:F4"/>
    <mergeCell ref="B6:F6"/>
    <mergeCell ref="B8:F8"/>
    <mergeCell ref="B40:F40"/>
    <mergeCell ref="B41:C41"/>
    <mergeCell ref="B42:C42"/>
    <mergeCell ref="B43:C43"/>
    <mergeCell ref="B44:C44"/>
    <mergeCell ref="B45:F45"/>
    <mergeCell ref="D41:E41"/>
    <mergeCell ref="D42:E42"/>
    <mergeCell ref="D43:E43"/>
    <mergeCell ref="D44:E44"/>
  </mergeCells>
  <conditionalFormatting sqref="E12:F15">
    <cfRule type="containsText" dxfId="7" priority="23" operator="containsText" text="NO">
      <formula>NOT(ISERROR(SEARCH("NO",E12)))</formula>
    </cfRule>
    <cfRule type="containsText" dxfId="6" priority="24" operator="containsText" text="YES">
      <formula>NOT(ISERROR(SEARCH("YES",E12)))</formula>
    </cfRule>
  </conditionalFormatting>
  <conditionalFormatting sqref="E18:F23">
    <cfRule type="containsText" dxfId="5" priority="5" operator="containsText" text="NO">
      <formula>NOT(ISERROR(SEARCH("NO",E18)))</formula>
    </cfRule>
    <cfRule type="containsText" dxfId="4" priority="6" operator="containsText" text="YES">
      <formula>NOT(ISERROR(SEARCH("YES",E18)))</formula>
    </cfRule>
  </conditionalFormatting>
  <conditionalFormatting sqref="E25:F27">
    <cfRule type="containsText" dxfId="3" priority="1" operator="containsText" text="NO">
      <formula>NOT(ISERROR(SEARCH("NO",E25)))</formula>
    </cfRule>
    <cfRule type="containsText" dxfId="2" priority="2" operator="containsText" text="YES">
      <formula>NOT(ISERROR(SEARCH("YES",E25)))</formula>
    </cfRule>
  </conditionalFormatting>
  <conditionalFormatting sqref="E29:F32">
    <cfRule type="containsText" dxfId="1" priority="3" operator="containsText" text="NO">
      <formula>NOT(ISERROR(SEARCH("NO",E29)))</formula>
    </cfRule>
    <cfRule type="containsText" dxfId="0" priority="4" operator="containsText" text="YES">
      <formula>NOT(ISERROR(SEARCH("YES",E29)))</formula>
    </cfRule>
  </conditionalFormatting>
  <dataValidations count="1">
    <dataValidation type="list" allowBlank="1" showInputMessage="1" showErrorMessage="1" sqref="E23:F23 E27:F27" xr:uid="{F2DC0FF4-83D7-4EE4-A5C5-24492E168160}">
      <formula1>$H$2:$H$3</formula1>
    </dataValidation>
  </dataValidations>
  <pageMargins left="0.23622047244094491" right="0.23622047244094491" top="0.31496062992125984" bottom="0.23622047244094491" header="0.31496062992125984" footer="0.31496062992125984"/>
  <pageSetup paperSize="9" scale="68" orientation="portrait" r:id="rId1"/>
  <colBreaks count="1" manualBreakCount="1">
    <brk id="7" max="6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BD86EC11-E730-4B83-A5C8-355AA2EA79DA}">
          <x14:formula1>
            <xm:f>LISTS!$E$9:$E$10</xm:f>
          </x14:formula1>
          <xm:sqref>E25:F26 E18:F22 E29:F32 E12:F15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ACAB1-325B-4050-8CAE-DE986B4DEF9D}">
  <dimension ref="B2:I13"/>
  <sheetViews>
    <sheetView workbookViewId="0">
      <selection activeCell="F25" sqref="F25"/>
    </sheetView>
  </sheetViews>
  <sheetFormatPr defaultColWidth="8.77734375" defaultRowHeight="14.4" x14ac:dyDescent="0.3"/>
  <cols>
    <col min="1" max="1" width="8.77734375" style="170"/>
    <col min="2" max="2" width="5.21875" style="170" bestFit="1" customWidth="1"/>
    <col min="3" max="3" width="27.77734375" style="170" bestFit="1" customWidth="1"/>
    <col min="4" max="4" width="18.77734375" style="170" bestFit="1" customWidth="1"/>
    <col min="5" max="5" width="43" style="170" bestFit="1" customWidth="1"/>
    <col min="6" max="16384" width="8.77734375" style="170"/>
  </cols>
  <sheetData>
    <row r="2" spans="2:9" ht="17.399999999999999" x14ac:dyDescent="0.3">
      <c r="B2" s="170" t="s">
        <v>318</v>
      </c>
      <c r="C2" s="170" t="s">
        <v>106</v>
      </c>
      <c r="D2" s="170" t="s">
        <v>319</v>
      </c>
      <c r="E2" s="171" t="s">
        <v>100</v>
      </c>
      <c r="F2" s="172"/>
      <c r="G2" s="172"/>
      <c r="H2" s="172"/>
      <c r="I2" s="172"/>
    </row>
    <row r="3" spans="2:9" ht="17.399999999999999" x14ac:dyDescent="0.3">
      <c r="B3" s="170">
        <v>2025</v>
      </c>
      <c r="C3" s="170" t="s">
        <v>320</v>
      </c>
      <c r="D3" s="170" t="s">
        <v>321</v>
      </c>
      <c r="E3" s="173" t="s">
        <v>322</v>
      </c>
    </row>
    <row r="4" spans="2:9" x14ac:dyDescent="0.3">
      <c r="B4" s="174">
        <v>2026</v>
      </c>
      <c r="C4" s="170" t="s">
        <v>323</v>
      </c>
      <c r="D4" s="174" t="s">
        <v>324</v>
      </c>
    </row>
    <row r="5" spans="2:9" x14ac:dyDescent="0.3">
      <c r="B5" s="170">
        <v>2027</v>
      </c>
      <c r="C5" s="170" t="s">
        <v>325</v>
      </c>
      <c r="D5" s="170" t="s">
        <v>326</v>
      </c>
      <c r="E5" t="s">
        <v>281</v>
      </c>
    </row>
    <row r="6" spans="2:9" x14ac:dyDescent="0.3">
      <c r="B6" s="170">
        <v>2028</v>
      </c>
      <c r="C6" s="170" t="s">
        <v>327</v>
      </c>
      <c r="D6" s="170" t="s">
        <v>328</v>
      </c>
      <c r="E6" s="1" t="s">
        <v>329</v>
      </c>
    </row>
    <row r="7" spans="2:9" x14ac:dyDescent="0.3">
      <c r="B7" s="170">
        <v>2029</v>
      </c>
      <c r="C7" s="174" t="s">
        <v>330</v>
      </c>
      <c r="D7" s="170" t="s">
        <v>331</v>
      </c>
      <c r="E7" t="s">
        <v>332</v>
      </c>
    </row>
    <row r="8" spans="2:9" x14ac:dyDescent="0.3">
      <c r="B8" s="170">
        <v>2030</v>
      </c>
      <c r="C8" s="170" t="s">
        <v>333</v>
      </c>
      <c r="D8" s="170" t="s">
        <v>334</v>
      </c>
    </row>
    <row r="9" spans="2:9" x14ac:dyDescent="0.3">
      <c r="C9" s="170" t="s">
        <v>335</v>
      </c>
      <c r="D9" s="170" t="s">
        <v>336</v>
      </c>
      <c r="E9" s="170" t="s">
        <v>337</v>
      </c>
    </row>
    <row r="10" spans="2:9" x14ac:dyDescent="0.3">
      <c r="C10" s="170" t="s">
        <v>338</v>
      </c>
      <c r="D10" s="170" t="s">
        <v>339</v>
      </c>
      <c r="E10" s="170" t="s">
        <v>297</v>
      </c>
    </row>
    <row r="11" spans="2:9" x14ac:dyDescent="0.3">
      <c r="C11" s="170" t="s">
        <v>340</v>
      </c>
    </row>
    <row r="12" spans="2:9" x14ac:dyDescent="0.3">
      <c r="C12" s="170" t="s">
        <v>341</v>
      </c>
    </row>
    <row r="13" spans="2:9" x14ac:dyDescent="0.3">
      <c r="C13" s="170" t="s">
        <v>342</v>
      </c>
    </row>
  </sheetData>
  <sheetProtection algorithmName="SHA-512" hashValue="8Bj0KcwXzcW1bQsi3FzGeM8Ht70vvzpo1GDThgktcZSvYY79LLdA2SmMksEctAnPaTLLjShkK0+o036I7hspeA==" saltValue="BEvpASd0y4cp8WGyQeChug==" spinCount="100000"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8086B-A696-4965-9BFC-7EA0D96486E6}">
  <dimension ref="A1:G2268"/>
  <sheetViews>
    <sheetView topLeftCell="C1" workbookViewId="0">
      <selection activeCell="E18" sqref="E18"/>
    </sheetView>
  </sheetViews>
  <sheetFormatPr defaultColWidth="48.77734375" defaultRowHeight="13.8" x14ac:dyDescent="0.3"/>
  <cols>
    <col min="1" max="1" width="63.77734375" style="188" bestFit="1" customWidth="1"/>
    <col min="2" max="2" width="8.44140625" style="188" customWidth="1"/>
    <col min="3" max="5" width="50.5546875" style="195" customWidth="1"/>
    <col min="6" max="6" width="81.5546875" style="195" bestFit="1" customWidth="1"/>
    <col min="7" max="16384" width="48.77734375" style="188"/>
  </cols>
  <sheetData>
    <row r="1" spans="1:7" s="177" customFormat="1" ht="15.6" x14ac:dyDescent="0.3">
      <c r="A1" s="176" t="s">
        <v>343</v>
      </c>
      <c r="C1" s="178" t="s">
        <v>344</v>
      </c>
      <c r="D1" s="179" t="s">
        <v>345</v>
      </c>
      <c r="E1" s="180" t="s">
        <v>346</v>
      </c>
      <c r="F1" s="181" t="s">
        <v>347</v>
      </c>
    </row>
    <row r="2" spans="1:7" ht="16.2" thickBot="1" x14ac:dyDescent="0.35">
      <c r="A2" s="182" t="s">
        <v>348</v>
      </c>
      <c r="B2" s="177"/>
      <c r="C2" s="184" t="s">
        <v>349</v>
      </c>
      <c r="D2" s="185" t="s">
        <v>350</v>
      </c>
      <c r="E2" s="186" t="s">
        <v>351</v>
      </c>
      <c r="F2" s="267" t="s">
        <v>352</v>
      </c>
      <c r="G2" s="177"/>
    </row>
    <row r="3" spans="1:7" ht="16.2" thickBot="1" x14ac:dyDescent="0.35">
      <c r="A3" s="182" t="s">
        <v>353</v>
      </c>
      <c r="B3" s="177"/>
      <c r="C3" s="184" t="s">
        <v>354</v>
      </c>
      <c r="D3" s="185" t="s">
        <v>355</v>
      </c>
      <c r="E3" s="186" t="s">
        <v>356</v>
      </c>
      <c r="F3" s="267" t="s">
        <v>357</v>
      </c>
      <c r="G3" s="177"/>
    </row>
    <row r="4" spans="1:7" ht="16.2" thickBot="1" x14ac:dyDescent="0.35">
      <c r="A4" s="182" t="s">
        <v>358</v>
      </c>
      <c r="B4" s="177"/>
      <c r="C4" s="184" t="s">
        <v>359</v>
      </c>
      <c r="D4" s="185" t="s">
        <v>360</v>
      </c>
      <c r="E4" s="186" t="s">
        <v>350</v>
      </c>
      <c r="F4" s="267" t="s">
        <v>361</v>
      </c>
      <c r="G4" s="177"/>
    </row>
    <row r="5" spans="1:7" ht="16.2" thickBot="1" x14ac:dyDescent="0.35">
      <c r="A5" s="182" t="s">
        <v>362</v>
      </c>
      <c r="B5" s="177"/>
      <c r="C5" s="184" t="s">
        <v>363</v>
      </c>
      <c r="D5" s="185" t="s">
        <v>364</v>
      </c>
      <c r="E5" s="189" t="s">
        <v>365</v>
      </c>
      <c r="F5" s="267" t="s">
        <v>366</v>
      </c>
      <c r="G5" s="177"/>
    </row>
    <row r="6" spans="1:7" ht="16.2" thickBot="1" x14ac:dyDescent="0.35">
      <c r="A6" s="182" t="s">
        <v>367</v>
      </c>
      <c r="B6" s="177"/>
      <c r="C6" s="184" t="s">
        <v>368</v>
      </c>
      <c r="D6" s="185" t="s">
        <v>359</v>
      </c>
      <c r="E6" s="186" t="s">
        <v>369</v>
      </c>
      <c r="F6" s="267" t="s">
        <v>370</v>
      </c>
      <c r="G6" s="177"/>
    </row>
    <row r="7" spans="1:7" ht="16.2" thickBot="1" x14ac:dyDescent="0.35">
      <c r="A7" s="182" t="s">
        <v>371</v>
      </c>
      <c r="B7" s="177"/>
      <c r="C7" s="184" t="s">
        <v>372</v>
      </c>
      <c r="D7" s="190" t="s">
        <v>368</v>
      </c>
      <c r="E7" s="186" t="s">
        <v>370</v>
      </c>
      <c r="F7" s="267" t="s">
        <v>279</v>
      </c>
      <c r="G7" s="177"/>
    </row>
    <row r="8" spans="1:7" ht="16.2" thickBot="1" x14ac:dyDescent="0.35">
      <c r="A8" s="182" t="s">
        <v>373</v>
      </c>
      <c r="B8" s="177"/>
      <c r="C8" s="184" t="s">
        <v>374</v>
      </c>
      <c r="D8" s="185" t="s">
        <v>375</v>
      </c>
      <c r="E8" s="186" t="s">
        <v>354</v>
      </c>
      <c r="F8" s="267" t="s">
        <v>376</v>
      </c>
      <c r="G8" s="177"/>
    </row>
    <row r="9" spans="1:7" ht="16.2" thickBot="1" x14ac:dyDescent="0.35">
      <c r="A9" s="182" t="s">
        <v>377</v>
      </c>
      <c r="B9" s="177"/>
      <c r="C9" s="184" t="s">
        <v>378</v>
      </c>
      <c r="D9" s="185" t="s">
        <v>372</v>
      </c>
      <c r="E9" s="186" t="s">
        <v>359</v>
      </c>
      <c r="F9" s="267" t="s">
        <v>375</v>
      </c>
      <c r="G9" s="177"/>
    </row>
    <row r="10" spans="1:7" ht="16.2" thickBot="1" x14ac:dyDescent="0.35">
      <c r="A10" s="182" t="s">
        <v>379</v>
      </c>
      <c r="B10" s="177"/>
      <c r="C10" s="184" t="s">
        <v>380</v>
      </c>
      <c r="D10" s="185" t="s">
        <v>374</v>
      </c>
      <c r="E10" s="186" t="s">
        <v>279</v>
      </c>
      <c r="F10" s="267" t="s">
        <v>381</v>
      </c>
      <c r="G10" s="177"/>
    </row>
    <row r="11" spans="1:7" ht="16.2" thickBot="1" x14ac:dyDescent="0.35">
      <c r="A11" s="182" t="s">
        <v>382</v>
      </c>
      <c r="B11" s="177"/>
      <c r="C11" s="184" t="s">
        <v>383</v>
      </c>
      <c r="D11" s="185" t="s">
        <v>384</v>
      </c>
      <c r="E11" s="186" t="s">
        <v>385</v>
      </c>
      <c r="F11" s="267" t="s">
        <v>386</v>
      </c>
      <c r="G11" s="177"/>
    </row>
    <row r="12" spans="1:7" ht="16.2" thickBot="1" x14ac:dyDescent="0.35">
      <c r="A12" s="182" t="s">
        <v>387</v>
      </c>
      <c r="B12" s="177"/>
      <c r="C12" s="184" t="s">
        <v>388</v>
      </c>
      <c r="D12" s="185" t="s">
        <v>389</v>
      </c>
      <c r="E12" s="186" t="s">
        <v>372</v>
      </c>
      <c r="F12" s="267" t="s">
        <v>390</v>
      </c>
      <c r="G12" s="177"/>
    </row>
    <row r="13" spans="1:7" ht="16.2" thickBot="1" x14ac:dyDescent="0.35">
      <c r="A13" s="182" t="s">
        <v>391</v>
      </c>
      <c r="B13" s="177"/>
      <c r="C13" s="184" t="s">
        <v>392</v>
      </c>
      <c r="D13" s="185" t="s">
        <v>378</v>
      </c>
      <c r="E13" s="186" t="s">
        <v>393</v>
      </c>
      <c r="F13" s="267" t="s">
        <v>393</v>
      </c>
      <c r="G13" s="177"/>
    </row>
    <row r="14" spans="1:7" ht="16.2" thickBot="1" x14ac:dyDescent="0.35">
      <c r="A14" s="182" t="s">
        <v>394</v>
      </c>
      <c r="B14" s="177"/>
      <c r="C14" s="184" t="s">
        <v>395</v>
      </c>
      <c r="D14" s="185" t="s">
        <v>388</v>
      </c>
      <c r="E14" s="186" t="s">
        <v>396</v>
      </c>
      <c r="F14" s="267" t="s">
        <v>397</v>
      </c>
      <c r="G14" s="177"/>
    </row>
    <row r="15" spans="1:7" ht="16.2" thickBot="1" x14ac:dyDescent="0.35">
      <c r="A15" s="182" t="s">
        <v>398</v>
      </c>
      <c r="B15" s="177"/>
      <c r="C15" s="184" t="s">
        <v>399</v>
      </c>
      <c r="D15" s="185" t="s">
        <v>400</v>
      </c>
      <c r="E15" s="186" t="s">
        <v>389</v>
      </c>
      <c r="F15" s="267" t="s">
        <v>401</v>
      </c>
      <c r="G15" s="177"/>
    </row>
    <row r="16" spans="1:7" ht="28.2" thickBot="1" x14ac:dyDescent="0.35">
      <c r="A16" s="182" t="s">
        <v>402</v>
      </c>
      <c r="B16" s="177"/>
      <c r="C16" s="184" t="s">
        <v>403</v>
      </c>
      <c r="D16" s="185" t="s">
        <v>404</v>
      </c>
      <c r="E16" s="186" t="s">
        <v>405</v>
      </c>
      <c r="F16" s="267" t="s">
        <v>406</v>
      </c>
      <c r="G16" s="177"/>
    </row>
    <row r="17" spans="1:7" ht="28.2" thickBot="1" x14ac:dyDescent="0.35">
      <c r="A17" s="182" t="s">
        <v>407</v>
      </c>
      <c r="B17" s="177"/>
      <c r="C17" s="184" t="s">
        <v>408</v>
      </c>
      <c r="D17" s="185" t="s">
        <v>409</v>
      </c>
      <c r="E17" s="186" t="s">
        <v>410</v>
      </c>
      <c r="F17" s="267" t="s">
        <v>410</v>
      </c>
      <c r="G17" s="177"/>
    </row>
    <row r="18" spans="1:7" ht="16.2" thickBot="1" x14ac:dyDescent="0.35">
      <c r="A18" s="182" t="s">
        <v>411</v>
      </c>
      <c r="B18" s="177"/>
      <c r="C18" s="184" t="s">
        <v>412</v>
      </c>
      <c r="D18" s="185" t="s">
        <v>413</v>
      </c>
      <c r="E18" s="186" t="s">
        <v>414</v>
      </c>
      <c r="F18" s="267" t="s">
        <v>415</v>
      </c>
      <c r="G18" s="177"/>
    </row>
    <row r="19" spans="1:7" ht="16.2" thickBot="1" x14ac:dyDescent="0.35">
      <c r="A19" s="182" t="s">
        <v>416</v>
      </c>
      <c r="B19" s="177"/>
      <c r="C19" s="184" t="s">
        <v>417</v>
      </c>
      <c r="D19" s="185" t="s">
        <v>418</v>
      </c>
      <c r="E19" s="186" t="s">
        <v>419</v>
      </c>
      <c r="F19" s="267" t="s">
        <v>420</v>
      </c>
      <c r="G19" s="177"/>
    </row>
    <row r="20" spans="1:7" ht="16.2" thickBot="1" x14ac:dyDescent="0.35">
      <c r="A20" s="182" t="s">
        <v>421</v>
      </c>
      <c r="B20" s="177"/>
      <c r="C20" s="184" t="s">
        <v>422</v>
      </c>
      <c r="D20" s="185" t="s">
        <v>423</v>
      </c>
      <c r="E20" s="186" t="s">
        <v>424</v>
      </c>
      <c r="F20" s="267" t="s">
        <v>425</v>
      </c>
      <c r="G20" s="177"/>
    </row>
    <row r="21" spans="1:7" ht="16.2" thickBot="1" x14ac:dyDescent="0.35">
      <c r="A21" s="182" t="s">
        <v>426</v>
      </c>
      <c r="B21" s="177"/>
      <c r="C21" s="184" t="s">
        <v>427</v>
      </c>
      <c r="D21" s="185" t="s">
        <v>428</v>
      </c>
      <c r="E21" s="186" t="s">
        <v>429</v>
      </c>
      <c r="F21" s="267" t="s">
        <v>430</v>
      </c>
      <c r="G21" s="177"/>
    </row>
    <row r="22" spans="1:7" ht="28.2" thickBot="1" x14ac:dyDescent="0.35">
      <c r="A22" s="182" t="s">
        <v>431</v>
      </c>
      <c r="B22" s="177"/>
      <c r="C22" s="184" t="s">
        <v>432</v>
      </c>
      <c r="D22" s="185" t="s">
        <v>399</v>
      </c>
      <c r="E22" s="186" t="s">
        <v>433</v>
      </c>
      <c r="F22" s="267" t="s">
        <v>414</v>
      </c>
      <c r="G22" s="177"/>
    </row>
    <row r="23" spans="1:7" ht="28.2" thickBot="1" x14ac:dyDescent="0.35">
      <c r="A23" s="182" t="s">
        <v>434</v>
      </c>
      <c r="B23" s="177"/>
      <c r="C23" s="184" t="s">
        <v>435</v>
      </c>
      <c r="D23" s="185" t="s">
        <v>436</v>
      </c>
      <c r="E23" s="186" t="s">
        <v>403</v>
      </c>
      <c r="F23" s="267" t="s">
        <v>437</v>
      </c>
      <c r="G23" s="177"/>
    </row>
    <row r="24" spans="1:7" ht="28.2" thickBot="1" x14ac:dyDescent="0.35">
      <c r="A24" s="182" t="s">
        <v>438</v>
      </c>
      <c r="B24" s="177"/>
      <c r="C24" s="184" t="s">
        <v>439</v>
      </c>
      <c r="D24" s="185" t="s">
        <v>440</v>
      </c>
      <c r="E24" s="186" t="s">
        <v>441</v>
      </c>
      <c r="F24" s="267" t="s">
        <v>442</v>
      </c>
      <c r="G24" s="177"/>
    </row>
    <row r="25" spans="1:7" ht="16.2" thickBot="1" x14ac:dyDescent="0.35">
      <c r="A25" s="182" t="s">
        <v>443</v>
      </c>
      <c r="B25" s="177"/>
      <c r="C25" s="184" t="s">
        <v>444</v>
      </c>
      <c r="D25" s="185" t="s">
        <v>433</v>
      </c>
      <c r="E25" s="186" t="s">
        <v>50</v>
      </c>
      <c r="F25" s="267" t="s">
        <v>445</v>
      </c>
      <c r="G25" s="177"/>
    </row>
    <row r="26" spans="1:7" ht="16.2" thickBot="1" x14ac:dyDescent="0.35">
      <c r="A26" s="182" t="s">
        <v>446</v>
      </c>
      <c r="B26" s="177"/>
      <c r="C26" s="184" t="s">
        <v>447</v>
      </c>
      <c r="D26" s="185" t="s">
        <v>403</v>
      </c>
      <c r="E26" s="186" t="s">
        <v>448</v>
      </c>
      <c r="F26" s="267" t="s">
        <v>449</v>
      </c>
      <c r="G26" s="177"/>
    </row>
    <row r="27" spans="1:7" ht="16.2" thickBot="1" x14ac:dyDescent="0.35">
      <c r="A27" s="182" t="s">
        <v>450</v>
      </c>
      <c r="B27" s="177"/>
      <c r="C27" s="184" t="s">
        <v>451</v>
      </c>
      <c r="D27" s="185" t="s">
        <v>50</v>
      </c>
      <c r="E27" s="186" t="s">
        <v>452</v>
      </c>
      <c r="F27" s="267" t="s">
        <v>50</v>
      </c>
      <c r="G27" s="177"/>
    </row>
    <row r="28" spans="1:7" ht="28.2" thickBot="1" x14ac:dyDescent="0.35">
      <c r="A28" s="182" t="s">
        <v>453</v>
      </c>
      <c r="B28" s="177"/>
      <c r="C28" s="184" t="s">
        <v>454</v>
      </c>
      <c r="D28" s="185" t="s">
        <v>412</v>
      </c>
      <c r="E28" s="186" t="s">
        <v>455</v>
      </c>
      <c r="F28" s="267" t="s">
        <v>448</v>
      </c>
      <c r="G28" s="177"/>
    </row>
    <row r="29" spans="1:7" ht="28.2" thickBot="1" x14ac:dyDescent="0.35">
      <c r="A29" s="182" t="s">
        <v>456</v>
      </c>
      <c r="B29" s="177"/>
      <c r="C29" s="184" t="s">
        <v>457</v>
      </c>
      <c r="D29" s="185" t="s">
        <v>458</v>
      </c>
      <c r="E29" s="186" t="s">
        <v>459</v>
      </c>
      <c r="F29" s="267" t="s">
        <v>39</v>
      </c>
      <c r="G29" s="177"/>
    </row>
    <row r="30" spans="1:7" ht="16.2" thickBot="1" x14ac:dyDescent="0.35">
      <c r="A30" s="182" t="s">
        <v>460</v>
      </c>
      <c r="B30" s="177"/>
      <c r="C30" s="184" t="s">
        <v>461</v>
      </c>
      <c r="D30" s="185" t="s">
        <v>459</v>
      </c>
      <c r="E30" s="186" t="s">
        <v>462</v>
      </c>
      <c r="F30" s="267" t="s">
        <v>458</v>
      </c>
      <c r="G30" s="177"/>
    </row>
    <row r="31" spans="1:7" ht="16.2" thickBot="1" x14ac:dyDescent="0.35">
      <c r="A31" s="182" t="s">
        <v>463</v>
      </c>
      <c r="B31" s="177"/>
      <c r="C31" s="184" t="s">
        <v>464</v>
      </c>
      <c r="D31" s="185" t="s">
        <v>465</v>
      </c>
      <c r="E31" s="186" t="s">
        <v>417</v>
      </c>
      <c r="F31" s="267" t="s">
        <v>466</v>
      </c>
      <c r="G31" s="177"/>
    </row>
    <row r="32" spans="1:7" ht="16.2" thickBot="1" x14ac:dyDescent="0.35">
      <c r="A32" s="182" t="s">
        <v>467</v>
      </c>
      <c r="B32" s="177"/>
      <c r="C32" s="184" t="s">
        <v>468</v>
      </c>
      <c r="D32" s="185" t="s">
        <v>417</v>
      </c>
      <c r="E32" s="186" t="s">
        <v>469</v>
      </c>
      <c r="F32" s="267" t="s">
        <v>470</v>
      </c>
      <c r="G32" s="177"/>
    </row>
    <row r="33" spans="1:7" ht="16.2" thickBot="1" x14ac:dyDescent="0.35">
      <c r="A33" s="182" t="s">
        <v>471</v>
      </c>
      <c r="B33" s="177"/>
      <c r="C33" s="184" t="s">
        <v>472</v>
      </c>
      <c r="D33" s="185" t="s">
        <v>422</v>
      </c>
      <c r="E33" s="186" t="s">
        <v>422</v>
      </c>
      <c r="F33" s="267" t="s">
        <v>473</v>
      </c>
      <c r="G33" s="177"/>
    </row>
    <row r="34" spans="1:7" ht="16.2" thickBot="1" x14ac:dyDescent="0.35">
      <c r="A34" s="182" t="s">
        <v>474</v>
      </c>
      <c r="B34" s="177"/>
      <c r="C34" s="184" t="s">
        <v>475</v>
      </c>
      <c r="D34" s="185" t="s">
        <v>476</v>
      </c>
      <c r="E34" s="186" t="s">
        <v>477</v>
      </c>
      <c r="F34" s="267" t="s">
        <v>478</v>
      </c>
      <c r="G34" s="177"/>
    </row>
    <row r="35" spans="1:7" ht="28.2" thickBot="1" x14ac:dyDescent="0.35">
      <c r="A35" s="182" t="s">
        <v>479</v>
      </c>
      <c r="B35" s="177"/>
      <c r="C35" s="184" t="s">
        <v>480</v>
      </c>
      <c r="D35" s="185" t="s">
        <v>481</v>
      </c>
      <c r="E35" s="186" t="s">
        <v>482</v>
      </c>
      <c r="F35" s="267" t="s">
        <v>483</v>
      </c>
      <c r="G35" s="177"/>
    </row>
    <row r="36" spans="1:7" ht="16.2" thickBot="1" x14ac:dyDescent="0.35">
      <c r="A36" s="182" t="s">
        <v>484</v>
      </c>
      <c r="B36" s="177"/>
      <c r="C36" s="184" t="s">
        <v>485</v>
      </c>
      <c r="D36" s="185" t="s">
        <v>432</v>
      </c>
      <c r="E36" s="186" t="s">
        <v>486</v>
      </c>
      <c r="F36" s="267" t="s">
        <v>469</v>
      </c>
      <c r="G36" s="177"/>
    </row>
    <row r="37" spans="1:7" ht="28.2" thickBot="1" x14ac:dyDescent="0.35">
      <c r="A37" s="182" t="s">
        <v>487</v>
      </c>
      <c r="B37" s="177"/>
      <c r="C37" s="184" t="s">
        <v>488</v>
      </c>
      <c r="D37" s="185" t="s">
        <v>489</v>
      </c>
      <c r="E37" s="186" t="s">
        <v>490</v>
      </c>
      <c r="F37" s="267" t="s">
        <v>491</v>
      </c>
      <c r="G37" s="177"/>
    </row>
    <row r="38" spans="1:7" ht="28.2" thickBot="1" x14ac:dyDescent="0.35">
      <c r="A38" s="182" t="s">
        <v>492</v>
      </c>
      <c r="B38" s="177"/>
      <c r="C38" s="184" t="s">
        <v>493</v>
      </c>
      <c r="D38" s="185" t="s">
        <v>454</v>
      </c>
      <c r="E38" s="186" t="s">
        <v>38</v>
      </c>
      <c r="F38" s="267" t="s">
        <v>494</v>
      </c>
      <c r="G38" s="177"/>
    </row>
    <row r="39" spans="1:7" ht="28.2" thickBot="1" x14ac:dyDescent="0.35">
      <c r="A39" s="182" t="s">
        <v>495</v>
      </c>
      <c r="B39" s="177"/>
      <c r="C39" s="184" t="s">
        <v>496</v>
      </c>
      <c r="D39" s="185" t="s">
        <v>461</v>
      </c>
      <c r="E39" s="189" t="s">
        <v>497</v>
      </c>
      <c r="F39" s="267" t="s">
        <v>490</v>
      </c>
      <c r="G39" s="177"/>
    </row>
    <row r="40" spans="1:7" ht="28.2" thickBot="1" x14ac:dyDescent="0.35">
      <c r="A40" s="182" t="s">
        <v>498</v>
      </c>
      <c r="B40" s="177"/>
      <c r="C40" s="184" t="s">
        <v>499</v>
      </c>
      <c r="D40" s="185" t="s">
        <v>472</v>
      </c>
      <c r="E40" s="186" t="s">
        <v>500</v>
      </c>
      <c r="F40" s="268" t="s">
        <v>501</v>
      </c>
      <c r="G40" s="177"/>
    </row>
    <row r="41" spans="1:7" ht="16.2" thickBot="1" x14ac:dyDescent="0.35">
      <c r="A41" s="182" t="s">
        <v>502</v>
      </c>
      <c r="B41" s="177"/>
      <c r="C41" s="184" t="s">
        <v>503</v>
      </c>
      <c r="D41" s="185" t="s">
        <v>480</v>
      </c>
      <c r="E41" s="186" t="s">
        <v>504</v>
      </c>
      <c r="F41" s="267" t="s">
        <v>38</v>
      </c>
      <c r="G41" s="177"/>
    </row>
    <row r="42" spans="1:7" ht="16.2" thickBot="1" x14ac:dyDescent="0.35">
      <c r="A42" s="182" t="s">
        <v>505</v>
      </c>
      <c r="B42" s="177"/>
      <c r="C42" s="184" t="s">
        <v>506</v>
      </c>
      <c r="D42" s="185" t="s">
        <v>507</v>
      </c>
      <c r="E42" s="186" t="s">
        <v>508</v>
      </c>
      <c r="F42" s="267" t="s">
        <v>509</v>
      </c>
      <c r="G42" s="177"/>
    </row>
    <row r="43" spans="1:7" ht="16.2" thickBot="1" x14ac:dyDescent="0.35">
      <c r="A43" s="182" t="s">
        <v>510</v>
      </c>
      <c r="B43" s="177"/>
      <c r="C43" s="184" t="s">
        <v>511</v>
      </c>
      <c r="D43" s="185" t="s">
        <v>512</v>
      </c>
      <c r="E43" s="186" t="s">
        <v>480</v>
      </c>
      <c r="F43" s="267" t="s">
        <v>513</v>
      </c>
      <c r="G43" s="177"/>
    </row>
    <row r="44" spans="1:7" ht="28.2" thickBot="1" x14ac:dyDescent="0.35">
      <c r="A44" s="182" t="s">
        <v>514</v>
      </c>
      <c r="B44" s="177"/>
      <c r="C44" s="184" t="s">
        <v>515</v>
      </c>
      <c r="D44" s="185" t="s">
        <v>496</v>
      </c>
      <c r="E44" s="191" t="s">
        <v>516</v>
      </c>
      <c r="F44" s="267" t="s">
        <v>517</v>
      </c>
      <c r="G44" s="177"/>
    </row>
    <row r="45" spans="1:7" ht="28.2" thickBot="1" x14ac:dyDescent="0.35">
      <c r="A45" s="182" t="s">
        <v>518</v>
      </c>
      <c r="B45" s="177"/>
      <c r="C45" s="184" t="s">
        <v>519</v>
      </c>
      <c r="D45" s="185" t="s">
        <v>499</v>
      </c>
      <c r="E45" s="186" t="s">
        <v>507</v>
      </c>
      <c r="F45" s="267" t="s">
        <v>520</v>
      </c>
      <c r="G45" s="177"/>
    </row>
    <row r="46" spans="1:7" ht="16.2" thickBot="1" x14ac:dyDescent="0.35">
      <c r="A46" s="182" t="s">
        <v>521</v>
      </c>
      <c r="B46" s="177"/>
      <c r="C46" s="184" t="s">
        <v>522</v>
      </c>
      <c r="D46" s="185" t="s">
        <v>506</v>
      </c>
      <c r="E46" s="186" t="s">
        <v>523</v>
      </c>
      <c r="F46" s="267" t="s">
        <v>524</v>
      </c>
      <c r="G46" s="177"/>
    </row>
    <row r="47" spans="1:7" ht="16.2" thickBot="1" x14ac:dyDescent="0.35">
      <c r="A47" s="182" t="s">
        <v>525</v>
      </c>
      <c r="B47" s="177"/>
      <c r="C47" s="184" t="s">
        <v>526</v>
      </c>
      <c r="D47" s="185" t="s">
        <v>527</v>
      </c>
      <c r="E47" s="186" t="s">
        <v>528</v>
      </c>
      <c r="F47" s="267" t="s">
        <v>507</v>
      </c>
      <c r="G47" s="177"/>
    </row>
    <row r="48" spans="1:7" ht="16.2" thickBot="1" x14ac:dyDescent="0.35">
      <c r="A48" s="182" t="s">
        <v>529</v>
      </c>
      <c r="B48" s="177"/>
      <c r="C48" s="184" t="s">
        <v>530</v>
      </c>
      <c r="D48" s="192" t="s">
        <v>519</v>
      </c>
      <c r="E48" s="186" t="s">
        <v>531</v>
      </c>
      <c r="F48" s="267" t="s">
        <v>532</v>
      </c>
      <c r="G48" s="177"/>
    </row>
    <row r="49" spans="1:7" ht="28.2" thickBot="1" x14ac:dyDescent="0.35">
      <c r="A49" s="182" t="s">
        <v>533</v>
      </c>
      <c r="B49" s="177"/>
      <c r="C49" s="184" t="s">
        <v>534</v>
      </c>
      <c r="D49" s="185" t="s">
        <v>535</v>
      </c>
      <c r="E49" s="186" t="s">
        <v>536</v>
      </c>
      <c r="F49" s="267" t="s">
        <v>537</v>
      </c>
      <c r="G49" s="177"/>
    </row>
    <row r="50" spans="1:7" ht="16.2" thickBot="1" x14ac:dyDescent="0.35">
      <c r="A50" s="182" t="s">
        <v>538</v>
      </c>
      <c r="B50" s="177"/>
      <c r="C50" s="184" t="s">
        <v>539</v>
      </c>
      <c r="D50" s="185" t="s">
        <v>522</v>
      </c>
      <c r="E50" s="186" t="s">
        <v>540</v>
      </c>
      <c r="F50" s="267" t="s">
        <v>528</v>
      </c>
      <c r="G50" s="177"/>
    </row>
    <row r="51" spans="1:7" ht="16.2" thickBot="1" x14ac:dyDescent="0.35">
      <c r="A51" s="182" t="s">
        <v>541</v>
      </c>
      <c r="B51" s="177"/>
      <c r="C51" s="184" t="s">
        <v>542</v>
      </c>
      <c r="D51" s="185" t="s">
        <v>526</v>
      </c>
      <c r="E51" s="186" t="s">
        <v>32</v>
      </c>
      <c r="F51" s="267" t="s">
        <v>543</v>
      </c>
      <c r="G51" s="177"/>
    </row>
    <row r="52" spans="1:7" ht="28.2" thickBot="1" x14ac:dyDescent="0.35">
      <c r="A52" s="182" t="s">
        <v>544</v>
      </c>
      <c r="B52" s="177"/>
      <c r="C52" s="193" t="s">
        <v>545</v>
      </c>
      <c r="D52" s="185" t="s">
        <v>534</v>
      </c>
      <c r="E52" s="186" t="s">
        <v>546</v>
      </c>
      <c r="F52" s="267" t="s">
        <v>531</v>
      </c>
      <c r="G52" s="177"/>
    </row>
    <row r="53" spans="1:7" ht="16.2" thickBot="1" x14ac:dyDescent="0.35">
      <c r="A53" s="182" t="s">
        <v>547</v>
      </c>
      <c r="B53" s="177"/>
      <c r="C53" s="184" t="s">
        <v>548</v>
      </c>
      <c r="D53" s="185" t="s">
        <v>542</v>
      </c>
      <c r="E53" s="186" t="s">
        <v>511</v>
      </c>
      <c r="F53" s="267" t="s">
        <v>549</v>
      </c>
      <c r="G53" s="177"/>
    </row>
    <row r="54" spans="1:7" ht="28.2" thickBot="1" x14ac:dyDescent="0.35">
      <c r="A54" s="182" t="s">
        <v>550</v>
      </c>
      <c r="B54" s="177"/>
      <c r="C54" s="184" t="s">
        <v>551</v>
      </c>
      <c r="D54" s="185" t="s">
        <v>552</v>
      </c>
      <c r="E54" s="186" t="s">
        <v>519</v>
      </c>
      <c r="F54" s="267" t="s">
        <v>553</v>
      </c>
      <c r="G54" s="177"/>
    </row>
    <row r="55" spans="1:7" ht="28.2" thickBot="1" x14ac:dyDescent="0.35">
      <c r="A55" s="182" t="s">
        <v>554</v>
      </c>
      <c r="B55" s="177"/>
      <c r="C55" s="184" t="s">
        <v>555</v>
      </c>
      <c r="D55" s="185" t="s">
        <v>556</v>
      </c>
      <c r="E55" s="186" t="s">
        <v>557</v>
      </c>
      <c r="F55" s="267" t="s">
        <v>519</v>
      </c>
      <c r="G55" s="177"/>
    </row>
    <row r="56" spans="1:7" ht="28.2" thickBot="1" x14ac:dyDescent="0.35">
      <c r="A56" s="182" t="s">
        <v>558</v>
      </c>
      <c r="B56" s="177"/>
      <c r="C56" s="184" t="s">
        <v>552</v>
      </c>
      <c r="D56" s="185" t="s">
        <v>559</v>
      </c>
      <c r="E56" s="186" t="s">
        <v>560</v>
      </c>
      <c r="F56" s="267" t="s">
        <v>560</v>
      </c>
      <c r="G56" s="177"/>
    </row>
    <row r="57" spans="1:7" ht="16.2" thickBot="1" x14ac:dyDescent="0.35">
      <c r="A57" s="182" t="s">
        <v>561</v>
      </c>
      <c r="B57" s="177"/>
      <c r="C57" s="184" t="s">
        <v>559</v>
      </c>
      <c r="D57" s="185" t="s">
        <v>562</v>
      </c>
      <c r="E57" s="186" t="s">
        <v>522</v>
      </c>
      <c r="F57" s="267" t="s">
        <v>522</v>
      </c>
      <c r="G57" s="177"/>
    </row>
    <row r="58" spans="1:7" ht="16.2" thickBot="1" x14ac:dyDescent="0.35">
      <c r="A58" s="182" t="s">
        <v>563</v>
      </c>
      <c r="B58" s="177"/>
      <c r="C58" s="184" t="s">
        <v>564</v>
      </c>
      <c r="D58" s="185" t="s">
        <v>565</v>
      </c>
      <c r="E58" s="186" t="s">
        <v>566</v>
      </c>
      <c r="F58" s="267" t="s">
        <v>567</v>
      </c>
      <c r="G58" s="177"/>
    </row>
    <row r="59" spans="1:7" ht="16.2" thickBot="1" x14ac:dyDescent="0.35">
      <c r="A59" s="182" t="s">
        <v>568</v>
      </c>
      <c r="B59" s="177"/>
      <c r="C59" s="184" t="s">
        <v>569</v>
      </c>
      <c r="D59" s="194"/>
      <c r="E59" s="186" t="s">
        <v>570</v>
      </c>
      <c r="F59" s="267" t="s">
        <v>570</v>
      </c>
      <c r="G59" s="177"/>
    </row>
    <row r="60" spans="1:7" ht="28.2" thickBot="1" x14ac:dyDescent="0.35">
      <c r="A60" s="182" t="s">
        <v>571</v>
      </c>
      <c r="B60" s="177"/>
      <c r="C60" s="184" t="s">
        <v>572</v>
      </c>
      <c r="D60" s="194"/>
      <c r="E60" s="186" t="s">
        <v>573</v>
      </c>
      <c r="F60" s="267" t="s">
        <v>574</v>
      </c>
      <c r="G60" s="177"/>
    </row>
    <row r="61" spans="1:7" ht="16.2" thickBot="1" x14ac:dyDescent="0.35">
      <c r="A61" s="182" t="s">
        <v>575</v>
      </c>
      <c r="B61" s="177"/>
      <c r="C61" s="184"/>
      <c r="D61" s="194"/>
      <c r="E61" s="186" t="s">
        <v>576</v>
      </c>
      <c r="F61" s="267" t="s">
        <v>577</v>
      </c>
      <c r="G61" s="177"/>
    </row>
    <row r="62" spans="1:7" ht="16.2" thickBot="1" x14ac:dyDescent="0.35">
      <c r="A62" s="182" t="s">
        <v>578</v>
      </c>
      <c r="B62" s="177"/>
      <c r="C62" s="194"/>
      <c r="D62" s="194"/>
      <c r="E62" s="186" t="s">
        <v>556</v>
      </c>
      <c r="F62" s="267" t="s">
        <v>579</v>
      </c>
      <c r="G62" s="177"/>
    </row>
    <row r="63" spans="1:7" ht="16.2" thickBot="1" x14ac:dyDescent="0.35">
      <c r="A63" s="182" t="s">
        <v>580</v>
      </c>
      <c r="B63" s="177"/>
      <c r="D63" s="194"/>
      <c r="E63" s="186" t="s">
        <v>559</v>
      </c>
      <c r="F63" s="267" t="s">
        <v>581</v>
      </c>
      <c r="G63" s="177"/>
    </row>
    <row r="64" spans="1:7" ht="16.2" thickBot="1" x14ac:dyDescent="0.35">
      <c r="A64" s="182" t="s">
        <v>582</v>
      </c>
      <c r="B64" s="177"/>
      <c r="E64" s="186" t="s">
        <v>583</v>
      </c>
      <c r="F64" s="267" t="s">
        <v>584</v>
      </c>
      <c r="G64" s="177"/>
    </row>
    <row r="65" spans="1:7" ht="16.2" thickBot="1" x14ac:dyDescent="0.35">
      <c r="A65" s="182" t="s">
        <v>585</v>
      </c>
      <c r="B65" s="177"/>
      <c r="E65" s="186" t="s">
        <v>586</v>
      </c>
      <c r="F65" s="267" t="s">
        <v>587</v>
      </c>
      <c r="G65" s="177"/>
    </row>
    <row r="66" spans="1:7" ht="16.2" thickBot="1" x14ac:dyDescent="0.35">
      <c r="A66" s="182" t="s">
        <v>588</v>
      </c>
      <c r="B66" s="177"/>
      <c r="E66" s="186" t="s">
        <v>589</v>
      </c>
      <c r="F66" s="267" t="s">
        <v>590</v>
      </c>
      <c r="G66" s="177"/>
    </row>
    <row r="67" spans="1:7" ht="16.2" thickBot="1" x14ac:dyDescent="0.35">
      <c r="A67" s="182" t="s">
        <v>591</v>
      </c>
      <c r="B67" s="177"/>
      <c r="E67" s="186" t="s">
        <v>592</v>
      </c>
      <c r="F67" s="267" t="s">
        <v>593</v>
      </c>
      <c r="G67" s="177"/>
    </row>
    <row r="68" spans="1:7" ht="16.2" thickBot="1" x14ac:dyDescent="0.35">
      <c r="A68" s="182" t="s">
        <v>594</v>
      </c>
      <c r="B68" s="177"/>
      <c r="E68" s="194"/>
      <c r="F68" s="267" t="s">
        <v>595</v>
      </c>
      <c r="G68" s="177"/>
    </row>
    <row r="69" spans="1:7" ht="16.2" thickBot="1" x14ac:dyDescent="0.35">
      <c r="A69" s="182" t="s">
        <v>596</v>
      </c>
      <c r="B69" s="177"/>
      <c r="E69" s="194"/>
      <c r="F69" s="267" t="s">
        <v>597</v>
      </c>
      <c r="G69" s="177"/>
    </row>
    <row r="70" spans="1:7" ht="16.2" thickBot="1" x14ac:dyDescent="0.35">
      <c r="A70" s="182" t="s">
        <v>598</v>
      </c>
      <c r="B70" s="177"/>
      <c r="E70" s="194"/>
      <c r="F70" s="267" t="s">
        <v>599</v>
      </c>
      <c r="G70" s="177"/>
    </row>
    <row r="71" spans="1:7" ht="16.2" thickBot="1" x14ac:dyDescent="0.35">
      <c r="A71" s="182" t="s">
        <v>600</v>
      </c>
      <c r="B71" s="177"/>
      <c r="E71" s="194"/>
      <c r="F71" s="267" t="s">
        <v>601</v>
      </c>
      <c r="G71" s="177"/>
    </row>
    <row r="72" spans="1:7" ht="16.2" thickBot="1" x14ac:dyDescent="0.35">
      <c r="A72" s="182" t="s">
        <v>602</v>
      </c>
      <c r="B72" s="177"/>
      <c r="E72" s="194"/>
      <c r="F72" s="267" t="s">
        <v>592</v>
      </c>
      <c r="G72" s="177"/>
    </row>
    <row r="73" spans="1:7" ht="16.2" thickBot="1" x14ac:dyDescent="0.35">
      <c r="A73" s="182" t="s">
        <v>603</v>
      </c>
      <c r="B73" s="177"/>
      <c r="E73" s="194"/>
      <c r="F73" s="267" t="s">
        <v>604</v>
      </c>
      <c r="G73" s="177"/>
    </row>
    <row r="74" spans="1:7" ht="16.2" thickBot="1" x14ac:dyDescent="0.35">
      <c r="A74" s="182" t="s">
        <v>605</v>
      </c>
      <c r="B74" s="177"/>
      <c r="E74" s="194"/>
      <c r="F74" s="267" t="s">
        <v>280</v>
      </c>
      <c r="G74" s="177"/>
    </row>
    <row r="75" spans="1:7" ht="16.2" thickBot="1" x14ac:dyDescent="0.35">
      <c r="A75" s="182" t="s">
        <v>606</v>
      </c>
      <c r="B75" s="177"/>
      <c r="E75" s="194"/>
      <c r="F75" s="267" t="s">
        <v>607</v>
      </c>
      <c r="G75" s="177"/>
    </row>
    <row r="76" spans="1:7" x14ac:dyDescent="0.25">
      <c r="A76" s="182" t="s">
        <v>608</v>
      </c>
      <c r="B76" s="177"/>
      <c r="E76" s="196"/>
      <c r="F76" s="187"/>
      <c r="G76" s="177"/>
    </row>
    <row r="77" spans="1:7" x14ac:dyDescent="0.3">
      <c r="A77" s="182" t="s">
        <v>609</v>
      </c>
      <c r="B77" s="177"/>
      <c r="F77" s="187"/>
      <c r="G77" s="177"/>
    </row>
    <row r="78" spans="1:7" x14ac:dyDescent="0.3">
      <c r="A78" s="182" t="s">
        <v>610</v>
      </c>
      <c r="B78" s="177"/>
      <c r="F78" s="187"/>
      <c r="G78" s="177"/>
    </row>
    <row r="79" spans="1:7" x14ac:dyDescent="0.3">
      <c r="A79" s="182" t="s">
        <v>611</v>
      </c>
      <c r="B79" s="177"/>
      <c r="F79" s="187"/>
      <c r="G79" s="177"/>
    </row>
    <row r="80" spans="1:7" x14ac:dyDescent="0.3">
      <c r="A80" s="182" t="s">
        <v>612</v>
      </c>
      <c r="B80" s="177"/>
      <c r="F80" s="187"/>
      <c r="G80" s="177"/>
    </row>
    <row r="81" spans="1:7" x14ac:dyDescent="0.3">
      <c r="A81" s="182" t="s">
        <v>613</v>
      </c>
      <c r="B81" s="177"/>
      <c r="F81" s="187"/>
      <c r="G81" s="177"/>
    </row>
    <row r="82" spans="1:7" x14ac:dyDescent="0.3">
      <c r="A82" s="182" t="s">
        <v>614</v>
      </c>
      <c r="B82" s="177"/>
      <c r="F82" s="187"/>
      <c r="G82" s="177"/>
    </row>
    <row r="83" spans="1:7" x14ac:dyDescent="0.3">
      <c r="A83" s="182" t="s">
        <v>615</v>
      </c>
      <c r="B83" s="177"/>
      <c r="F83" s="187"/>
      <c r="G83" s="177"/>
    </row>
    <row r="84" spans="1:7" x14ac:dyDescent="0.3">
      <c r="A84" s="182" t="s">
        <v>616</v>
      </c>
      <c r="B84" s="177"/>
      <c r="F84" s="187"/>
      <c r="G84" s="177"/>
    </row>
    <row r="85" spans="1:7" x14ac:dyDescent="0.3">
      <c r="A85" s="182" t="s">
        <v>617</v>
      </c>
      <c r="B85" s="177"/>
      <c r="F85" s="187"/>
      <c r="G85" s="177"/>
    </row>
    <row r="86" spans="1:7" x14ac:dyDescent="0.3">
      <c r="A86" s="182" t="s">
        <v>618</v>
      </c>
      <c r="B86" s="177"/>
      <c r="F86" s="187"/>
      <c r="G86" s="177"/>
    </row>
    <row r="87" spans="1:7" x14ac:dyDescent="0.3">
      <c r="A87" s="182" t="s">
        <v>619</v>
      </c>
      <c r="B87" s="177"/>
      <c r="F87" s="187"/>
      <c r="G87" s="177"/>
    </row>
    <row r="88" spans="1:7" x14ac:dyDescent="0.3">
      <c r="A88" s="182" t="s">
        <v>620</v>
      </c>
      <c r="B88" s="177"/>
      <c r="F88" s="187"/>
      <c r="G88" s="177"/>
    </row>
    <row r="89" spans="1:7" x14ac:dyDescent="0.3">
      <c r="A89" s="182" t="s">
        <v>621</v>
      </c>
      <c r="B89" s="177"/>
      <c r="F89" s="187"/>
      <c r="G89" s="177"/>
    </row>
    <row r="90" spans="1:7" x14ac:dyDescent="0.3">
      <c r="A90" s="182" t="s">
        <v>622</v>
      </c>
      <c r="B90" s="177"/>
      <c r="F90" s="194"/>
      <c r="G90" s="177"/>
    </row>
    <row r="91" spans="1:7" x14ac:dyDescent="0.3">
      <c r="A91" s="182" t="s">
        <v>623</v>
      </c>
      <c r="B91" s="177"/>
      <c r="F91" s="194"/>
      <c r="G91" s="177"/>
    </row>
    <row r="92" spans="1:7" x14ac:dyDescent="0.3">
      <c r="A92" s="182" t="s">
        <v>624</v>
      </c>
      <c r="B92" s="177"/>
      <c r="F92" s="194"/>
      <c r="G92" s="177"/>
    </row>
    <row r="93" spans="1:7" x14ac:dyDescent="0.3">
      <c r="A93" s="182" t="s">
        <v>625</v>
      </c>
      <c r="B93" s="177"/>
      <c r="F93" s="194"/>
      <c r="G93" s="177"/>
    </row>
    <row r="94" spans="1:7" x14ac:dyDescent="0.3">
      <c r="A94" s="182" t="s">
        <v>626</v>
      </c>
      <c r="B94" s="177"/>
      <c r="F94" s="194"/>
      <c r="G94" s="177"/>
    </row>
    <row r="95" spans="1:7" x14ac:dyDescent="0.3">
      <c r="A95" s="182" t="s">
        <v>627</v>
      </c>
      <c r="B95" s="177"/>
      <c r="G95" s="177"/>
    </row>
    <row r="96" spans="1:7" x14ac:dyDescent="0.3">
      <c r="A96" s="182" t="s">
        <v>628</v>
      </c>
      <c r="B96" s="177"/>
      <c r="G96" s="177"/>
    </row>
    <row r="97" spans="1:7" x14ac:dyDescent="0.3">
      <c r="A97" s="182" t="s">
        <v>629</v>
      </c>
      <c r="B97" s="177"/>
      <c r="G97" s="177"/>
    </row>
    <row r="98" spans="1:7" x14ac:dyDescent="0.3">
      <c r="A98" s="182" t="s">
        <v>630</v>
      </c>
      <c r="B98" s="177"/>
      <c r="G98" s="177"/>
    </row>
    <row r="99" spans="1:7" x14ac:dyDescent="0.3">
      <c r="A99" s="182" t="s">
        <v>631</v>
      </c>
      <c r="B99" s="177"/>
      <c r="G99" s="177"/>
    </row>
    <row r="100" spans="1:7" x14ac:dyDescent="0.3">
      <c r="A100" s="182" t="s">
        <v>632</v>
      </c>
      <c r="B100" s="177"/>
      <c r="G100" s="177"/>
    </row>
    <row r="101" spans="1:7" x14ac:dyDescent="0.3">
      <c r="A101" s="182" t="s">
        <v>633</v>
      </c>
      <c r="B101" s="177"/>
      <c r="G101" s="177"/>
    </row>
    <row r="102" spans="1:7" x14ac:dyDescent="0.3">
      <c r="A102" s="182" t="s">
        <v>634</v>
      </c>
      <c r="B102" s="177"/>
      <c r="G102" s="177"/>
    </row>
    <row r="103" spans="1:7" x14ac:dyDescent="0.3">
      <c r="A103" s="182" t="s">
        <v>635</v>
      </c>
      <c r="B103" s="177"/>
      <c r="G103" s="177"/>
    </row>
    <row r="104" spans="1:7" x14ac:dyDescent="0.3">
      <c r="A104" s="182" t="s">
        <v>636</v>
      </c>
      <c r="B104" s="177"/>
      <c r="G104" s="177"/>
    </row>
    <row r="105" spans="1:7" x14ac:dyDescent="0.3">
      <c r="A105" s="182" t="s">
        <v>637</v>
      </c>
      <c r="B105" s="177"/>
      <c r="G105" s="177"/>
    </row>
    <row r="106" spans="1:7" x14ac:dyDescent="0.3">
      <c r="A106" s="182" t="s">
        <v>638</v>
      </c>
      <c r="B106" s="177"/>
      <c r="G106" s="177"/>
    </row>
    <row r="107" spans="1:7" x14ac:dyDescent="0.3">
      <c r="A107" s="182" t="s">
        <v>639</v>
      </c>
      <c r="B107" s="177"/>
      <c r="G107" s="177"/>
    </row>
    <row r="108" spans="1:7" x14ac:dyDescent="0.3">
      <c r="A108" s="182" t="s">
        <v>640</v>
      </c>
      <c r="B108" s="177"/>
      <c r="G108" s="177"/>
    </row>
    <row r="109" spans="1:7" x14ac:dyDescent="0.3">
      <c r="A109" s="182" t="s">
        <v>641</v>
      </c>
      <c r="B109" s="177"/>
      <c r="G109" s="177"/>
    </row>
    <row r="110" spans="1:7" x14ac:dyDescent="0.3">
      <c r="A110" s="182" t="s">
        <v>642</v>
      </c>
      <c r="B110" s="177"/>
      <c r="G110" s="177"/>
    </row>
    <row r="111" spans="1:7" x14ac:dyDescent="0.3">
      <c r="A111" s="182" t="s">
        <v>643</v>
      </c>
      <c r="B111" s="177"/>
      <c r="G111" s="177"/>
    </row>
    <row r="112" spans="1:7" x14ac:dyDescent="0.3">
      <c r="A112" s="182" t="s">
        <v>644</v>
      </c>
      <c r="B112" s="177"/>
      <c r="G112" s="177"/>
    </row>
    <row r="113" spans="1:7" x14ac:dyDescent="0.3">
      <c r="A113" s="182" t="s">
        <v>645</v>
      </c>
      <c r="B113" s="177"/>
      <c r="G113" s="177"/>
    </row>
    <row r="114" spans="1:7" x14ac:dyDescent="0.3">
      <c r="A114" s="182" t="s">
        <v>646</v>
      </c>
      <c r="B114" s="177"/>
      <c r="G114" s="177"/>
    </row>
    <row r="115" spans="1:7" x14ac:dyDescent="0.3">
      <c r="A115" s="182" t="s">
        <v>647</v>
      </c>
      <c r="B115" s="177"/>
      <c r="G115" s="177"/>
    </row>
    <row r="116" spans="1:7" x14ac:dyDescent="0.3">
      <c r="A116" s="182" t="s">
        <v>648</v>
      </c>
      <c r="B116" s="177"/>
      <c r="G116" s="177"/>
    </row>
    <row r="117" spans="1:7" x14ac:dyDescent="0.3">
      <c r="A117" s="182" t="s">
        <v>649</v>
      </c>
      <c r="B117" s="177"/>
      <c r="G117" s="177"/>
    </row>
    <row r="118" spans="1:7" x14ac:dyDescent="0.3">
      <c r="A118" s="182" t="s">
        <v>650</v>
      </c>
      <c r="B118" s="177"/>
      <c r="G118" s="177"/>
    </row>
    <row r="119" spans="1:7" x14ac:dyDescent="0.3">
      <c r="A119" s="182" t="s">
        <v>651</v>
      </c>
      <c r="B119" s="177"/>
      <c r="G119" s="177"/>
    </row>
    <row r="120" spans="1:7" x14ac:dyDescent="0.3">
      <c r="A120" s="182" t="s">
        <v>652</v>
      </c>
      <c r="B120" s="177"/>
      <c r="G120" s="177"/>
    </row>
    <row r="121" spans="1:7" x14ac:dyDescent="0.3">
      <c r="A121" s="182" t="s">
        <v>653</v>
      </c>
      <c r="B121" s="177"/>
      <c r="G121" s="177"/>
    </row>
    <row r="122" spans="1:7" x14ac:dyDescent="0.3">
      <c r="A122" s="182" t="s">
        <v>654</v>
      </c>
      <c r="B122" s="177"/>
      <c r="G122" s="177"/>
    </row>
    <row r="123" spans="1:7" x14ac:dyDescent="0.3">
      <c r="A123" s="182" t="s">
        <v>655</v>
      </c>
      <c r="B123" s="177"/>
      <c r="G123" s="177"/>
    </row>
    <row r="124" spans="1:7" x14ac:dyDescent="0.3">
      <c r="A124" s="182" t="s">
        <v>656</v>
      </c>
      <c r="B124" s="177"/>
      <c r="G124" s="177"/>
    </row>
    <row r="125" spans="1:7" x14ac:dyDescent="0.3">
      <c r="A125" s="182" t="s">
        <v>657</v>
      </c>
      <c r="B125" s="177"/>
      <c r="G125" s="177"/>
    </row>
    <row r="126" spans="1:7" x14ac:dyDescent="0.3">
      <c r="A126" s="182" t="s">
        <v>658</v>
      </c>
      <c r="B126" s="177"/>
      <c r="G126" s="177"/>
    </row>
    <row r="127" spans="1:7" x14ac:dyDescent="0.3">
      <c r="A127" s="182" t="s">
        <v>659</v>
      </c>
      <c r="B127" s="177"/>
      <c r="G127" s="177"/>
    </row>
    <row r="128" spans="1:7" x14ac:dyDescent="0.3">
      <c r="A128" s="182" t="s">
        <v>660</v>
      </c>
      <c r="B128" s="177"/>
      <c r="G128" s="177"/>
    </row>
    <row r="129" spans="1:7" x14ac:dyDescent="0.3">
      <c r="A129" s="182" t="s">
        <v>661</v>
      </c>
      <c r="B129" s="177"/>
      <c r="G129" s="177"/>
    </row>
    <row r="130" spans="1:7" x14ac:dyDescent="0.3">
      <c r="A130" s="182" t="s">
        <v>662</v>
      </c>
      <c r="B130" s="177"/>
      <c r="G130" s="177"/>
    </row>
    <row r="131" spans="1:7" x14ac:dyDescent="0.3">
      <c r="A131" s="182" t="s">
        <v>663</v>
      </c>
      <c r="B131" s="177"/>
      <c r="G131" s="177"/>
    </row>
    <row r="132" spans="1:7" x14ac:dyDescent="0.3">
      <c r="A132" s="182" t="s">
        <v>664</v>
      </c>
      <c r="B132" s="177"/>
      <c r="G132" s="177"/>
    </row>
    <row r="133" spans="1:7" x14ac:dyDescent="0.3">
      <c r="A133" s="182" t="s">
        <v>665</v>
      </c>
      <c r="B133" s="177"/>
      <c r="G133" s="177"/>
    </row>
    <row r="134" spans="1:7" x14ac:dyDescent="0.3">
      <c r="A134" s="182" t="s">
        <v>666</v>
      </c>
      <c r="B134" s="177"/>
      <c r="G134" s="177"/>
    </row>
    <row r="135" spans="1:7" x14ac:dyDescent="0.3">
      <c r="A135" s="182" t="s">
        <v>667</v>
      </c>
      <c r="B135" s="177"/>
      <c r="G135" s="177"/>
    </row>
    <row r="136" spans="1:7" x14ac:dyDescent="0.3">
      <c r="A136" s="182" t="s">
        <v>668</v>
      </c>
      <c r="B136" s="177"/>
      <c r="G136" s="177"/>
    </row>
    <row r="137" spans="1:7" x14ac:dyDescent="0.3">
      <c r="A137" s="182" t="s">
        <v>669</v>
      </c>
      <c r="B137" s="177"/>
      <c r="G137" s="177"/>
    </row>
    <row r="138" spans="1:7" x14ac:dyDescent="0.3">
      <c r="A138" s="182" t="s">
        <v>670</v>
      </c>
      <c r="B138" s="177"/>
      <c r="G138" s="177"/>
    </row>
    <row r="139" spans="1:7" x14ac:dyDescent="0.3">
      <c r="A139" s="182" t="s">
        <v>671</v>
      </c>
      <c r="B139" s="177"/>
      <c r="G139" s="177"/>
    </row>
    <row r="140" spans="1:7" x14ac:dyDescent="0.3">
      <c r="A140" s="182" t="s">
        <v>672</v>
      </c>
      <c r="B140" s="177"/>
      <c r="G140" s="177"/>
    </row>
    <row r="141" spans="1:7" x14ac:dyDescent="0.3">
      <c r="A141" s="182" t="s">
        <v>673</v>
      </c>
      <c r="B141" s="177"/>
      <c r="G141" s="177"/>
    </row>
    <row r="142" spans="1:7" x14ac:dyDescent="0.3">
      <c r="A142" s="182" t="s">
        <v>674</v>
      </c>
      <c r="B142" s="177"/>
      <c r="G142" s="177"/>
    </row>
    <row r="143" spans="1:7" x14ac:dyDescent="0.3">
      <c r="A143" s="182" t="s">
        <v>675</v>
      </c>
      <c r="B143" s="177"/>
      <c r="G143" s="177"/>
    </row>
    <row r="144" spans="1:7" x14ac:dyDescent="0.3">
      <c r="A144" s="182" t="s">
        <v>676</v>
      </c>
      <c r="B144" s="177"/>
      <c r="G144" s="177"/>
    </row>
    <row r="145" spans="1:7" x14ac:dyDescent="0.3">
      <c r="A145" s="182" t="s">
        <v>677</v>
      </c>
      <c r="B145" s="177"/>
      <c r="G145" s="177"/>
    </row>
    <row r="146" spans="1:7" x14ac:dyDescent="0.3">
      <c r="A146" s="182" t="s">
        <v>678</v>
      </c>
      <c r="B146" s="177"/>
      <c r="G146" s="177"/>
    </row>
    <row r="147" spans="1:7" x14ac:dyDescent="0.3">
      <c r="A147" s="182" t="s">
        <v>679</v>
      </c>
      <c r="B147" s="177"/>
      <c r="G147" s="177"/>
    </row>
    <row r="148" spans="1:7" x14ac:dyDescent="0.3">
      <c r="A148" s="182" t="s">
        <v>680</v>
      </c>
      <c r="B148" s="177"/>
      <c r="G148" s="177"/>
    </row>
    <row r="149" spans="1:7" x14ac:dyDescent="0.3">
      <c r="A149" s="182" t="s">
        <v>681</v>
      </c>
      <c r="B149" s="177"/>
      <c r="G149" s="177"/>
    </row>
    <row r="150" spans="1:7" x14ac:dyDescent="0.3">
      <c r="A150" s="182" t="s">
        <v>682</v>
      </c>
      <c r="B150" s="177"/>
      <c r="G150" s="177"/>
    </row>
    <row r="151" spans="1:7" x14ac:dyDescent="0.3">
      <c r="A151" s="182" t="s">
        <v>683</v>
      </c>
      <c r="B151" s="177"/>
      <c r="G151" s="177"/>
    </row>
    <row r="152" spans="1:7" x14ac:dyDescent="0.3">
      <c r="A152" s="182" t="s">
        <v>684</v>
      </c>
      <c r="B152" s="177"/>
      <c r="G152" s="177"/>
    </row>
    <row r="153" spans="1:7" x14ac:dyDescent="0.3">
      <c r="A153" s="182" t="s">
        <v>685</v>
      </c>
      <c r="B153" s="177"/>
      <c r="G153" s="177"/>
    </row>
    <row r="154" spans="1:7" x14ac:dyDescent="0.3">
      <c r="A154" s="182" t="s">
        <v>686</v>
      </c>
      <c r="B154" s="177"/>
      <c r="G154" s="177"/>
    </row>
    <row r="155" spans="1:7" x14ac:dyDescent="0.3">
      <c r="A155" s="182" t="s">
        <v>687</v>
      </c>
      <c r="B155" s="177"/>
      <c r="G155" s="177"/>
    </row>
    <row r="156" spans="1:7" x14ac:dyDescent="0.3">
      <c r="A156" s="182" t="s">
        <v>688</v>
      </c>
      <c r="B156" s="177"/>
      <c r="G156" s="177"/>
    </row>
    <row r="157" spans="1:7" x14ac:dyDescent="0.3">
      <c r="A157" s="182" t="s">
        <v>689</v>
      </c>
      <c r="B157" s="177"/>
      <c r="G157" s="177"/>
    </row>
    <row r="158" spans="1:7" x14ac:dyDescent="0.3">
      <c r="A158" s="182" t="s">
        <v>690</v>
      </c>
      <c r="B158" s="177"/>
      <c r="G158" s="177"/>
    </row>
    <row r="159" spans="1:7" x14ac:dyDescent="0.3">
      <c r="A159" s="182" t="s">
        <v>691</v>
      </c>
      <c r="B159" s="177"/>
      <c r="G159" s="177"/>
    </row>
    <row r="160" spans="1:7" x14ac:dyDescent="0.3">
      <c r="A160" s="182" t="s">
        <v>692</v>
      </c>
      <c r="B160" s="177"/>
      <c r="G160" s="177"/>
    </row>
    <row r="161" spans="1:7" x14ac:dyDescent="0.3">
      <c r="A161" s="182" t="s">
        <v>693</v>
      </c>
      <c r="B161" s="177"/>
      <c r="G161" s="177"/>
    </row>
    <row r="162" spans="1:7" x14ac:dyDescent="0.3">
      <c r="A162" s="182" t="s">
        <v>694</v>
      </c>
      <c r="B162" s="177"/>
      <c r="G162" s="177"/>
    </row>
    <row r="163" spans="1:7" x14ac:dyDescent="0.3">
      <c r="A163" s="182" t="s">
        <v>695</v>
      </c>
      <c r="B163" s="177"/>
      <c r="G163" s="177"/>
    </row>
    <row r="164" spans="1:7" x14ac:dyDescent="0.3">
      <c r="A164" s="182" t="s">
        <v>696</v>
      </c>
      <c r="B164" s="177"/>
      <c r="G164" s="177"/>
    </row>
    <row r="165" spans="1:7" x14ac:dyDescent="0.3">
      <c r="A165" s="182" t="s">
        <v>697</v>
      </c>
      <c r="B165" s="177"/>
      <c r="G165" s="177"/>
    </row>
    <row r="166" spans="1:7" x14ac:dyDescent="0.3">
      <c r="A166" s="182" t="s">
        <v>698</v>
      </c>
      <c r="B166" s="177"/>
      <c r="G166" s="177"/>
    </row>
    <row r="167" spans="1:7" x14ac:dyDescent="0.3">
      <c r="A167" s="182" t="s">
        <v>699</v>
      </c>
      <c r="B167" s="177"/>
      <c r="G167" s="177"/>
    </row>
    <row r="168" spans="1:7" x14ac:dyDescent="0.3">
      <c r="A168" s="182" t="s">
        <v>700</v>
      </c>
      <c r="B168" s="177"/>
      <c r="G168" s="177"/>
    </row>
    <row r="169" spans="1:7" x14ac:dyDescent="0.3">
      <c r="A169" s="182" t="s">
        <v>701</v>
      </c>
      <c r="B169" s="177"/>
      <c r="G169" s="177"/>
    </row>
    <row r="170" spans="1:7" x14ac:dyDescent="0.3">
      <c r="A170" s="182" t="s">
        <v>702</v>
      </c>
      <c r="B170" s="177"/>
      <c r="G170" s="177"/>
    </row>
    <row r="171" spans="1:7" x14ac:dyDescent="0.3">
      <c r="A171" s="182" t="s">
        <v>703</v>
      </c>
      <c r="B171" s="177"/>
      <c r="G171" s="177"/>
    </row>
    <row r="172" spans="1:7" x14ac:dyDescent="0.3">
      <c r="A172" s="182" t="s">
        <v>704</v>
      </c>
      <c r="B172" s="177"/>
      <c r="G172" s="177"/>
    </row>
    <row r="173" spans="1:7" x14ac:dyDescent="0.3">
      <c r="A173" s="182" t="s">
        <v>705</v>
      </c>
      <c r="B173" s="177"/>
      <c r="G173" s="177"/>
    </row>
    <row r="174" spans="1:7" x14ac:dyDescent="0.3">
      <c r="A174" s="182" t="s">
        <v>706</v>
      </c>
      <c r="B174" s="177"/>
      <c r="G174" s="177"/>
    </row>
    <row r="175" spans="1:7" x14ac:dyDescent="0.3">
      <c r="A175" s="182" t="s">
        <v>707</v>
      </c>
      <c r="B175" s="177"/>
      <c r="G175" s="177"/>
    </row>
    <row r="176" spans="1:7" x14ac:dyDescent="0.3">
      <c r="A176" s="182" t="s">
        <v>708</v>
      </c>
      <c r="B176" s="177"/>
      <c r="G176" s="177"/>
    </row>
    <row r="177" spans="1:7" x14ac:dyDescent="0.3">
      <c r="A177" s="182" t="s">
        <v>709</v>
      </c>
      <c r="B177" s="177"/>
      <c r="G177" s="177"/>
    </row>
    <row r="178" spans="1:7" x14ac:dyDescent="0.3">
      <c r="A178" s="182" t="s">
        <v>710</v>
      </c>
      <c r="B178" s="177"/>
      <c r="G178" s="177"/>
    </row>
    <row r="179" spans="1:7" x14ac:dyDescent="0.3">
      <c r="A179" s="182" t="s">
        <v>711</v>
      </c>
      <c r="B179" s="177"/>
      <c r="G179" s="177"/>
    </row>
    <row r="180" spans="1:7" x14ac:dyDescent="0.3">
      <c r="A180" s="182" t="s">
        <v>712</v>
      </c>
      <c r="B180" s="177"/>
      <c r="G180" s="177"/>
    </row>
    <row r="181" spans="1:7" x14ac:dyDescent="0.3">
      <c r="A181" s="182" t="s">
        <v>713</v>
      </c>
      <c r="B181" s="177"/>
      <c r="G181" s="177"/>
    </row>
    <row r="182" spans="1:7" x14ac:dyDescent="0.3">
      <c r="A182" s="182" t="s">
        <v>714</v>
      </c>
      <c r="B182" s="177"/>
      <c r="G182" s="177"/>
    </row>
    <row r="183" spans="1:7" x14ac:dyDescent="0.3">
      <c r="A183" s="182" t="s">
        <v>715</v>
      </c>
      <c r="B183" s="177"/>
      <c r="G183" s="177"/>
    </row>
    <row r="184" spans="1:7" x14ac:dyDescent="0.3">
      <c r="A184" s="182" t="s">
        <v>716</v>
      </c>
      <c r="B184" s="177"/>
      <c r="G184" s="177"/>
    </row>
    <row r="185" spans="1:7" x14ac:dyDescent="0.3">
      <c r="A185" s="182" t="s">
        <v>717</v>
      </c>
      <c r="B185" s="177"/>
      <c r="G185" s="177"/>
    </row>
    <row r="186" spans="1:7" x14ac:dyDescent="0.3">
      <c r="A186" s="182" t="s">
        <v>718</v>
      </c>
      <c r="B186" s="177"/>
      <c r="G186" s="177"/>
    </row>
    <row r="187" spans="1:7" x14ac:dyDescent="0.3">
      <c r="A187" s="182" t="s">
        <v>719</v>
      </c>
      <c r="B187" s="177"/>
      <c r="G187" s="177"/>
    </row>
    <row r="188" spans="1:7" x14ac:dyDescent="0.3">
      <c r="A188" s="182" t="s">
        <v>720</v>
      </c>
      <c r="B188" s="177"/>
      <c r="G188" s="177"/>
    </row>
    <row r="189" spans="1:7" x14ac:dyDescent="0.3">
      <c r="A189" s="182" t="s">
        <v>721</v>
      </c>
      <c r="B189" s="177"/>
      <c r="G189" s="177"/>
    </row>
    <row r="190" spans="1:7" x14ac:dyDescent="0.3">
      <c r="A190" s="182" t="s">
        <v>722</v>
      </c>
      <c r="B190" s="177"/>
      <c r="G190" s="177"/>
    </row>
    <row r="191" spans="1:7" x14ac:dyDescent="0.3">
      <c r="A191" s="182" t="s">
        <v>723</v>
      </c>
      <c r="B191" s="177"/>
      <c r="G191" s="177"/>
    </row>
    <row r="192" spans="1:7" x14ac:dyDescent="0.3">
      <c r="A192" s="182" t="s">
        <v>724</v>
      </c>
      <c r="B192" s="177"/>
      <c r="G192" s="177"/>
    </row>
    <row r="193" spans="1:7" x14ac:dyDescent="0.3">
      <c r="A193" s="182" t="s">
        <v>725</v>
      </c>
      <c r="B193" s="177"/>
      <c r="G193" s="177"/>
    </row>
    <row r="194" spans="1:7" x14ac:dyDescent="0.3">
      <c r="A194" s="182" t="s">
        <v>726</v>
      </c>
      <c r="B194" s="177"/>
      <c r="G194" s="177"/>
    </row>
    <row r="195" spans="1:7" x14ac:dyDescent="0.3">
      <c r="A195" s="182" t="s">
        <v>727</v>
      </c>
      <c r="B195" s="177"/>
      <c r="G195" s="177"/>
    </row>
    <row r="196" spans="1:7" x14ac:dyDescent="0.3">
      <c r="A196" s="182" t="s">
        <v>728</v>
      </c>
      <c r="B196" s="177"/>
      <c r="G196" s="177"/>
    </row>
    <row r="197" spans="1:7" x14ac:dyDescent="0.3">
      <c r="A197" s="182" t="s">
        <v>729</v>
      </c>
      <c r="B197" s="177"/>
      <c r="G197" s="177"/>
    </row>
    <row r="198" spans="1:7" x14ac:dyDescent="0.3">
      <c r="A198" s="182" t="s">
        <v>730</v>
      </c>
      <c r="B198" s="177"/>
      <c r="G198" s="177"/>
    </row>
    <row r="199" spans="1:7" x14ac:dyDescent="0.3">
      <c r="A199" s="182" t="s">
        <v>731</v>
      </c>
      <c r="B199" s="177"/>
      <c r="G199" s="177"/>
    </row>
    <row r="200" spans="1:7" x14ac:dyDescent="0.3">
      <c r="A200" s="182" t="s">
        <v>732</v>
      </c>
      <c r="B200" s="177"/>
      <c r="G200" s="177"/>
    </row>
    <row r="201" spans="1:7" x14ac:dyDescent="0.3">
      <c r="A201" s="182" t="s">
        <v>733</v>
      </c>
      <c r="B201" s="177"/>
      <c r="G201" s="177"/>
    </row>
    <row r="202" spans="1:7" x14ac:dyDescent="0.3">
      <c r="A202" s="182" t="s">
        <v>734</v>
      </c>
      <c r="B202" s="177"/>
      <c r="G202" s="177"/>
    </row>
    <row r="203" spans="1:7" x14ac:dyDescent="0.3">
      <c r="A203" s="182" t="s">
        <v>735</v>
      </c>
      <c r="B203" s="177"/>
      <c r="G203" s="177"/>
    </row>
    <row r="204" spans="1:7" x14ac:dyDescent="0.3">
      <c r="A204" s="182" t="s">
        <v>736</v>
      </c>
      <c r="B204" s="177"/>
      <c r="G204" s="177"/>
    </row>
    <row r="205" spans="1:7" x14ac:dyDescent="0.3">
      <c r="A205" s="182" t="s">
        <v>737</v>
      </c>
      <c r="B205" s="177"/>
      <c r="G205" s="177"/>
    </row>
    <row r="206" spans="1:7" x14ac:dyDescent="0.3">
      <c r="A206" s="182" t="s">
        <v>738</v>
      </c>
      <c r="B206" s="177"/>
      <c r="G206" s="177"/>
    </row>
    <row r="207" spans="1:7" x14ac:dyDescent="0.3">
      <c r="A207" s="182" t="s">
        <v>739</v>
      </c>
      <c r="B207" s="177"/>
      <c r="G207" s="177"/>
    </row>
    <row r="208" spans="1:7" x14ac:dyDescent="0.3">
      <c r="A208" s="182" t="s">
        <v>740</v>
      </c>
      <c r="B208" s="177"/>
      <c r="G208" s="177"/>
    </row>
    <row r="209" spans="1:7" x14ac:dyDescent="0.3">
      <c r="A209" s="182" t="s">
        <v>741</v>
      </c>
      <c r="B209" s="177"/>
      <c r="G209" s="177"/>
    </row>
    <row r="210" spans="1:7" x14ac:dyDescent="0.3">
      <c r="A210" s="182" t="s">
        <v>742</v>
      </c>
      <c r="B210" s="177"/>
      <c r="G210" s="177"/>
    </row>
    <row r="211" spans="1:7" x14ac:dyDescent="0.3">
      <c r="A211" s="182" t="s">
        <v>743</v>
      </c>
      <c r="B211" s="177"/>
      <c r="G211" s="177"/>
    </row>
    <row r="212" spans="1:7" x14ac:dyDescent="0.3">
      <c r="A212" s="182" t="s">
        <v>744</v>
      </c>
      <c r="B212" s="177"/>
      <c r="G212" s="177"/>
    </row>
    <row r="213" spans="1:7" x14ac:dyDescent="0.3">
      <c r="A213" s="182" t="s">
        <v>745</v>
      </c>
      <c r="B213" s="177"/>
      <c r="G213" s="177"/>
    </row>
    <row r="214" spans="1:7" x14ac:dyDescent="0.3">
      <c r="A214" s="182" t="s">
        <v>746</v>
      </c>
      <c r="B214" s="177"/>
      <c r="G214" s="177"/>
    </row>
    <row r="215" spans="1:7" x14ac:dyDescent="0.3">
      <c r="A215" s="182" t="s">
        <v>747</v>
      </c>
      <c r="B215" s="177"/>
      <c r="G215" s="177"/>
    </row>
    <row r="216" spans="1:7" x14ac:dyDescent="0.3">
      <c r="A216" s="182" t="s">
        <v>748</v>
      </c>
      <c r="B216" s="177"/>
      <c r="G216" s="177"/>
    </row>
    <row r="217" spans="1:7" x14ac:dyDescent="0.3">
      <c r="A217" s="182" t="s">
        <v>749</v>
      </c>
      <c r="B217" s="177"/>
      <c r="G217" s="177"/>
    </row>
    <row r="218" spans="1:7" x14ac:dyDescent="0.3">
      <c r="A218" s="182" t="s">
        <v>750</v>
      </c>
      <c r="B218" s="177"/>
      <c r="G218" s="177"/>
    </row>
    <row r="219" spans="1:7" x14ac:dyDescent="0.3">
      <c r="A219" s="182" t="s">
        <v>751</v>
      </c>
      <c r="B219" s="177"/>
      <c r="G219" s="177"/>
    </row>
    <row r="220" spans="1:7" x14ac:dyDescent="0.3">
      <c r="A220" s="182" t="s">
        <v>752</v>
      </c>
      <c r="B220" s="177"/>
      <c r="G220" s="177"/>
    </row>
    <row r="221" spans="1:7" x14ac:dyDescent="0.3">
      <c r="A221" s="182" t="s">
        <v>753</v>
      </c>
      <c r="B221" s="177"/>
      <c r="G221" s="177"/>
    </row>
    <row r="222" spans="1:7" x14ac:dyDescent="0.3">
      <c r="A222" s="182" t="s">
        <v>754</v>
      </c>
      <c r="B222" s="177"/>
      <c r="G222" s="177"/>
    </row>
    <row r="223" spans="1:7" x14ac:dyDescent="0.3">
      <c r="A223" s="182" t="s">
        <v>755</v>
      </c>
      <c r="B223" s="177"/>
      <c r="G223" s="177"/>
    </row>
    <row r="224" spans="1:7" x14ac:dyDescent="0.3">
      <c r="A224" s="182" t="s">
        <v>756</v>
      </c>
      <c r="B224" s="177"/>
      <c r="G224" s="177"/>
    </row>
    <row r="225" spans="1:7" x14ac:dyDescent="0.3">
      <c r="A225" s="182" t="s">
        <v>757</v>
      </c>
      <c r="B225" s="177"/>
      <c r="G225" s="177"/>
    </row>
    <row r="226" spans="1:7" x14ac:dyDescent="0.3">
      <c r="A226" s="182" t="s">
        <v>758</v>
      </c>
      <c r="B226" s="177"/>
      <c r="G226" s="177"/>
    </row>
    <row r="227" spans="1:7" x14ac:dyDescent="0.3">
      <c r="A227" s="182" t="s">
        <v>759</v>
      </c>
      <c r="B227" s="177"/>
      <c r="G227" s="177"/>
    </row>
    <row r="228" spans="1:7" x14ac:dyDescent="0.3">
      <c r="A228" s="182" t="s">
        <v>760</v>
      </c>
      <c r="B228" s="177"/>
      <c r="G228" s="177"/>
    </row>
    <row r="229" spans="1:7" x14ac:dyDescent="0.3">
      <c r="A229" s="182" t="s">
        <v>761</v>
      </c>
      <c r="B229" s="177"/>
      <c r="G229" s="177"/>
    </row>
    <row r="230" spans="1:7" x14ac:dyDescent="0.3">
      <c r="A230" s="182" t="s">
        <v>762</v>
      </c>
      <c r="B230" s="177"/>
      <c r="G230" s="177"/>
    </row>
    <row r="231" spans="1:7" x14ac:dyDescent="0.3">
      <c r="A231" s="182" t="s">
        <v>763</v>
      </c>
      <c r="B231" s="177"/>
      <c r="G231" s="177"/>
    </row>
    <row r="232" spans="1:7" x14ac:dyDescent="0.3">
      <c r="A232" s="182" t="s">
        <v>764</v>
      </c>
      <c r="B232" s="177"/>
      <c r="G232" s="177"/>
    </row>
    <row r="233" spans="1:7" x14ac:dyDescent="0.3">
      <c r="A233" s="182" t="s">
        <v>765</v>
      </c>
      <c r="B233" s="177"/>
      <c r="G233" s="177"/>
    </row>
    <row r="234" spans="1:7" x14ac:dyDescent="0.3">
      <c r="A234" s="182" t="s">
        <v>766</v>
      </c>
      <c r="B234" s="177"/>
      <c r="G234" s="177"/>
    </row>
    <row r="235" spans="1:7" x14ac:dyDescent="0.3">
      <c r="A235" s="182" t="s">
        <v>767</v>
      </c>
      <c r="B235" s="177"/>
      <c r="G235" s="177"/>
    </row>
    <row r="236" spans="1:7" x14ac:dyDescent="0.3">
      <c r="A236" s="182" t="s">
        <v>768</v>
      </c>
      <c r="B236" s="177"/>
      <c r="G236" s="177"/>
    </row>
    <row r="237" spans="1:7" x14ac:dyDescent="0.3">
      <c r="A237" s="182" t="s">
        <v>769</v>
      </c>
      <c r="B237" s="177"/>
      <c r="G237" s="177"/>
    </row>
    <row r="238" spans="1:7" x14ac:dyDescent="0.3">
      <c r="A238" s="182" t="s">
        <v>770</v>
      </c>
      <c r="B238" s="177"/>
      <c r="G238" s="177"/>
    </row>
    <row r="239" spans="1:7" x14ac:dyDescent="0.3">
      <c r="A239" s="182" t="s">
        <v>771</v>
      </c>
      <c r="B239" s="177"/>
      <c r="G239" s="177"/>
    </row>
    <row r="240" spans="1:7" x14ac:dyDescent="0.3">
      <c r="A240" s="182" t="s">
        <v>772</v>
      </c>
      <c r="B240" s="177"/>
      <c r="G240" s="177"/>
    </row>
    <row r="241" spans="1:7" x14ac:dyDescent="0.3">
      <c r="A241" s="182" t="s">
        <v>773</v>
      </c>
      <c r="B241" s="177"/>
      <c r="G241" s="177"/>
    </row>
    <row r="242" spans="1:7" x14ac:dyDescent="0.3">
      <c r="A242" s="182" t="s">
        <v>774</v>
      </c>
      <c r="B242" s="177"/>
      <c r="G242" s="177"/>
    </row>
    <row r="243" spans="1:7" x14ac:dyDescent="0.3">
      <c r="A243" s="182" t="s">
        <v>775</v>
      </c>
      <c r="B243" s="177"/>
      <c r="G243" s="177"/>
    </row>
    <row r="244" spans="1:7" x14ac:dyDescent="0.3">
      <c r="A244" s="182" t="s">
        <v>776</v>
      </c>
      <c r="B244" s="177"/>
      <c r="G244" s="177"/>
    </row>
    <row r="245" spans="1:7" x14ac:dyDescent="0.3">
      <c r="A245" s="182" t="s">
        <v>777</v>
      </c>
      <c r="B245" s="177"/>
      <c r="G245" s="177"/>
    </row>
    <row r="246" spans="1:7" x14ac:dyDescent="0.3">
      <c r="A246" s="182" t="s">
        <v>778</v>
      </c>
      <c r="B246" s="177"/>
      <c r="G246" s="177"/>
    </row>
    <row r="247" spans="1:7" x14ac:dyDescent="0.3">
      <c r="A247" s="182" t="s">
        <v>779</v>
      </c>
      <c r="B247" s="177"/>
      <c r="G247" s="177"/>
    </row>
    <row r="248" spans="1:7" x14ac:dyDescent="0.3">
      <c r="A248" s="182" t="s">
        <v>780</v>
      </c>
      <c r="B248" s="177"/>
      <c r="G248" s="177"/>
    </row>
    <row r="249" spans="1:7" x14ac:dyDescent="0.3">
      <c r="A249" s="182" t="s">
        <v>781</v>
      </c>
      <c r="B249" s="177"/>
      <c r="G249" s="177"/>
    </row>
    <row r="250" spans="1:7" x14ac:dyDescent="0.3">
      <c r="A250" s="182" t="s">
        <v>782</v>
      </c>
      <c r="B250" s="177"/>
      <c r="G250" s="177"/>
    </row>
    <row r="251" spans="1:7" x14ac:dyDescent="0.3">
      <c r="A251" s="182" t="s">
        <v>783</v>
      </c>
      <c r="B251" s="177"/>
      <c r="G251" s="177"/>
    </row>
    <row r="252" spans="1:7" x14ac:dyDescent="0.3">
      <c r="A252" s="182" t="s">
        <v>784</v>
      </c>
      <c r="B252" s="177"/>
      <c r="G252" s="177"/>
    </row>
    <row r="253" spans="1:7" x14ac:dyDescent="0.3">
      <c r="A253" s="182" t="s">
        <v>785</v>
      </c>
      <c r="B253" s="177"/>
      <c r="G253" s="177"/>
    </row>
    <row r="254" spans="1:7" x14ac:dyDescent="0.3">
      <c r="A254" s="182" t="s">
        <v>786</v>
      </c>
      <c r="B254" s="177"/>
      <c r="G254" s="177"/>
    </row>
    <row r="255" spans="1:7" x14ac:dyDescent="0.3">
      <c r="A255" s="182" t="s">
        <v>787</v>
      </c>
      <c r="B255" s="177"/>
      <c r="G255" s="177"/>
    </row>
    <row r="256" spans="1:7" x14ac:dyDescent="0.3">
      <c r="A256" s="182" t="s">
        <v>788</v>
      </c>
      <c r="B256" s="177"/>
      <c r="G256" s="177"/>
    </row>
    <row r="257" spans="1:7" x14ac:dyDescent="0.3">
      <c r="A257" s="182" t="s">
        <v>789</v>
      </c>
      <c r="B257" s="177"/>
      <c r="G257" s="177"/>
    </row>
    <row r="258" spans="1:7" x14ac:dyDescent="0.3">
      <c r="A258" s="182" t="s">
        <v>790</v>
      </c>
      <c r="B258" s="177"/>
      <c r="G258" s="177"/>
    </row>
    <row r="259" spans="1:7" x14ac:dyDescent="0.3">
      <c r="A259" s="182" t="s">
        <v>791</v>
      </c>
      <c r="B259" s="177"/>
      <c r="G259" s="177"/>
    </row>
    <row r="260" spans="1:7" x14ac:dyDescent="0.3">
      <c r="A260" s="182" t="s">
        <v>792</v>
      </c>
      <c r="B260" s="177"/>
      <c r="G260" s="177"/>
    </row>
    <row r="261" spans="1:7" x14ac:dyDescent="0.3">
      <c r="A261" s="182" t="s">
        <v>793</v>
      </c>
      <c r="B261" s="177"/>
      <c r="G261" s="177"/>
    </row>
    <row r="262" spans="1:7" x14ac:dyDescent="0.3">
      <c r="A262" s="182" t="s">
        <v>794</v>
      </c>
      <c r="B262" s="177"/>
      <c r="G262" s="177"/>
    </row>
    <row r="263" spans="1:7" x14ac:dyDescent="0.3">
      <c r="A263" s="182" t="s">
        <v>795</v>
      </c>
      <c r="B263" s="177"/>
      <c r="G263" s="177"/>
    </row>
    <row r="264" spans="1:7" x14ac:dyDescent="0.3">
      <c r="A264" s="182" t="s">
        <v>796</v>
      </c>
      <c r="B264" s="177"/>
      <c r="G264" s="177"/>
    </row>
    <row r="265" spans="1:7" x14ac:dyDescent="0.3">
      <c r="A265" s="182" t="s">
        <v>797</v>
      </c>
      <c r="B265" s="177"/>
      <c r="G265" s="177"/>
    </row>
    <row r="266" spans="1:7" x14ac:dyDescent="0.3">
      <c r="A266" s="182" t="s">
        <v>798</v>
      </c>
      <c r="B266" s="177"/>
      <c r="G266" s="177"/>
    </row>
    <row r="267" spans="1:7" x14ac:dyDescent="0.3">
      <c r="A267" s="182" t="s">
        <v>799</v>
      </c>
      <c r="B267" s="177"/>
      <c r="G267" s="177"/>
    </row>
    <row r="268" spans="1:7" x14ac:dyDescent="0.3">
      <c r="A268" s="182" t="s">
        <v>800</v>
      </c>
      <c r="B268" s="177"/>
      <c r="G268" s="177"/>
    </row>
    <row r="269" spans="1:7" x14ac:dyDescent="0.3">
      <c r="A269" s="182" t="s">
        <v>801</v>
      </c>
      <c r="B269" s="177"/>
      <c r="G269" s="177"/>
    </row>
    <row r="270" spans="1:7" x14ac:dyDescent="0.3">
      <c r="A270" s="182" t="s">
        <v>802</v>
      </c>
      <c r="B270" s="177"/>
      <c r="G270" s="177"/>
    </row>
    <row r="271" spans="1:7" x14ac:dyDescent="0.3">
      <c r="A271" s="182" t="s">
        <v>803</v>
      </c>
      <c r="B271" s="177"/>
      <c r="G271" s="177"/>
    </row>
    <row r="272" spans="1:7" x14ac:dyDescent="0.3">
      <c r="A272" s="182" t="s">
        <v>804</v>
      </c>
      <c r="B272" s="177"/>
      <c r="G272" s="177"/>
    </row>
    <row r="273" spans="1:7" x14ac:dyDescent="0.3">
      <c r="A273" s="182" t="s">
        <v>805</v>
      </c>
      <c r="B273" s="177"/>
      <c r="G273" s="177"/>
    </row>
    <row r="274" spans="1:7" x14ac:dyDescent="0.3">
      <c r="A274" s="182" t="s">
        <v>806</v>
      </c>
      <c r="B274" s="177"/>
      <c r="G274" s="177"/>
    </row>
    <row r="275" spans="1:7" x14ac:dyDescent="0.3">
      <c r="A275" s="182" t="s">
        <v>807</v>
      </c>
      <c r="B275" s="177"/>
      <c r="G275" s="177"/>
    </row>
    <row r="276" spans="1:7" x14ac:dyDescent="0.3">
      <c r="A276" s="182" t="s">
        <v>808</v>
      </c>
      <c r="B276" s="177"/>
      <c r="G276" s="177"/>
    </row>
    <row r="277" spans="1:7" x14ac:dyDescent="0.3">
      <c r="A277" s="182" t="s">
        <v>809</v>
      </c>
      <c r="B277" s="177"/>
      <c r="G277" s="177"/>
    </row>
    <row r="278" spans="1:7" x14ac:dyDescent="0.3">
      <c r="A278" s="182" t="s">
        <v>810</v>
      </c>
      <c r="B278" s="177"/>
      <c r="G278" s="177"/>
    </row>
    <row r="279" spans="1:7" x14ac:dyDescent="0.3">
      <c r="A279" s="182" t="s">
        <v>811</v>
      </c>
      <c r="B279" s="177"/>
      <c r="G279" s="177"/>
    </row>
    <row r="280" spans="1:7" x14ac:dyDescent="0.3">
      <c r="A280" s="182" t="s">
        <v>812</v>
      </c>
      <c r="B280" s="177"/>
      <c r="G280" s="177"/>
    </row>
    <row r="281" spans="1:7" x14ac:dyDescent="0.3">
      <c r="A281" s="182" t="s">
        <v>813</v>
      </c>
      <c r="B281" s="177"/>
      <c r="G281" s="177"/>
    </row>
    <row r="282" spans="1:7" x14ac:dyDescent="0.3">
      <c r="A282" s="182" t="s">
        <v>814</v>
      </c>
      <c r="B282" s="177"/>
      <c r="G282" s="177"/>
    </row>
    <row r="283" spans="1:7" x14ac:dyDescent="0.3">
      <c r="A283" s="182" t="s">
        <v>815</v>
      </c>
      <c r="B283" s="177"/>
      <c r="G283" s="177"/>
    </row>
    <row r="284" spans="1:7" x14ac:dyDescent="0.3">
      <c r="A284" s="182" t="s">
        <v>816</v>
      </c>
      <c r="B284" s="177"/>
      <c r="G284" s="177"/>
    </row>
    <row r="285" spans="1:7" x14ac:dyDescent="0.3">
      <c r="A285" s="182" t="s">
        <v>817</v>
      </c>
      <c r="B285" s="177"/>
      <c r="G285" s="177"/>
    </row>
    <row r="286" spans="1:7" x14ac:dyDescent="0.3">
      <c r="A286" s="182" t="s">
        <v>818</v>
      </c>
      <c r="B286" s="177"/>
      <c r="G286" s="177"/>
    </row>
    <row r="287" spans="1:7" x14ac:dyDescent="0.3">
      <c r="A287" s="182" t="s">
        <v>819</v>
      </c>
      <c r="B287" s="177"/>
      <c r="G287" s="177"/>
    </row>
    <row r="288" spans="1:7" x14ac:dyDescent="0.3">
      <c r="A288" s="182" t="s">
        <v>820</v>
      </c>
      <c r="B288" s="177"/>
      <c r="G288" s="177"/>
    </row>
    <row r="289" spans="1:7" x14ac:dyDescent="0.3">
      <c r="A289" s="182" t="s">
        <v>821</v>
      </c>
      <c r="B289" s="177"/>
      <c r="G289" s="177"/>
    </row>
    <row r="290" spans="1:7" x14ac:dyDescent="0.3">
      <c r="A290" s="182" t="s">
        <v>822</v>
      </c>
      <c r="B290" s="177"/>
      <c r="G290" s="177"/>
    </row>
    <row r="291" spans="1:7" x14ac:dyDescent="0.3">
      <c r="A291" s="182" t="s">
        <v>823</v>
      </c>
      <c r="B291" s="177"/>
      <c r="G291" s="177"/>
    </row>
    <row r="292" spans="1:7" x14ac:dyDescent="0.3">
      <c r="A292" s="182" t="s">
        <v>824</v>
      </c>
      <c r="B292" s="177"/>
      <c r="G292" s="177"/>
    </row>
    <row r="293" spans="1:7" x14ac:dyDescent="0.3">
      <c r="A293" s="182" t="s">
        <v>825</v>
      </c>
      <c r="B293" s="177"/>
      <c r="G293" s="177"/>
    </row>
    <row r="294" spans="1:7" x14ac:dyDescent="0.3">
      <c r="A294" s="182" t="s">
        <v>826</v>
      </c>
      <c r="B294" s="177"/>
      <c r="G294" s="177"/>
    </row>
    <row r="295" spans="1:7" x14ac:dyDescent="0.3">
      <c r="A295" s="197" t="s">
        <v>827</v>
      </c>
      <c r="B295" s="177"/>
      <c r="G295" s="177"/>
    </row>
    <row r="296" spans="1:7" x14ac:dyDescent="0.3">
      <c r="A296" s="197" t="s">
        <v>828</v>
      </c>
      <c r="B296" s="177"/>
      <c r="G296" s="177"/>
    </row>
    <row r="297" spans="1:7" x14ac:dyDescent="0.3">
      <c r="A297" s="182" t="s">
        <v>829</v>
      </c>
      <c r="B297" s="177"/>
      <c r="G297" s="177"/>
    </row>
    <row r="298" spans="1:7" x14ac:dyDescent="0.3">
      <c r="A298" s="182" t="s">
        <v>830</v>
      </c>
      <c r="B298" s="177"/>
      <c r="G298" s="177"/>
    </row>
    <row r="299" spans="1:7" x14ac:dyDescent="0.3">
      <c r="A299" s="182" t="s">
        <v>831</v>
      </c>
      <c r="B299" s="177"/>
      <c r="G299" s="177"/>
    </row>
    <row r="300" spans="1:7" x14ac:dyDescent="0.3">
      <c r="A300" s="182" t="s">
        <v>832</v>
      </c>
      <c r="B300" s="177"/>
      <c r="G300" s="177"/>
    </row>
    <row r="301" spans="1:7" x14ac:dyDescent="0.3">
      <c r="A301" s="182" t="s">
        <v>833</v>
      </c>
      <c r="B301" s="177"/>
      <c r="G301" s="177"/>
    </row>
    <row r="302" spans="1:7" x14ac:dyDescent="0.3">
      <c r="A302" s="182" t="s">
        <v>834</v>
      </c>
      <c r="B302" s="177"/>
      <c r="G302" s="177"/>
    </row>
    <row r="303" spans="1:7" x14ac:dyDescent="0.3">
      <c r="A303" s="182" t="s">
        <v>835</v>
      </c>
      <c r="B303" s="177"/>
      <c r="G303" s="177"/>
    </row>
    <row r="304" spans="1:7" x14ac:dyDescent="0.3">
      <c r="A304" s="182" t="s">
        <v>836</v>
      </c>
      <c r="B304" s="177"/>
      <c r="G304" s="177"/>
    </row>
    <row r="305" spans="1:7" x14ac:dyDescent="0.3">
      <c r="A305" s="182" t="s">
        <v>837</v>
      </c>
      <c r="B305" s="177"/>
      <c r="G305" s="177"/>
    </row>
    <row r="306" spans="1:7" x14ac:dyDescent="0.3">
      <c r="A306" s="182" t="s">
        <v>838</v>
      </c>
      <c r="B306" s="177"/>
      <c r="G306" s="177"/>
    </row>
    <row r="307" spans="1:7" x14ac:dyDescent="0.25">
      <c r="A307" s="198" t="s">
        <v>839</v>
      </c>
      <c r="B307" s="177"/>
      <c r="G307" s="177"/>
    </row>
    <row r="308" spans="1:7" x14ac:dyDescent="0.3">
      <c r="A308" s="182" t="s">
        <v>840</v>
      </c>
      <c r="B308" s="177"/>
      <c r="G308" s="177"/>
    </row>
    <row r="309" spans="1:7" x14ac:dyDescent="0.3">
      <c r="A309" s="182" t="s">
        <v>841</v>
      </c>
      <c r="B309" s="177"/>
      <c r="G309" s="177"/>
    </row>
    <row r="310" spans="1:7" x14ac:dyDescent="0.3">
      <c r="A310" s="182" t="s">
        <v>842</v>
      </c>
      <c r="B310" s="177"/>
      <c r="G310" s="177"/>
    </row>
    <row r="311" spans="1:7" x14ac:dyDescent="0.3">
      <c r="A311" s="182" t="s">
        <v>843</v>
      </c>
      <c r="B311" s="177"/>
      <c r="G311" s="177"/>
    </row>
    <row r="312" spans="1:7" x14ac:dyDescent="0.3">
      <c r="A312" s="182" t="s">
        <v>844</v>
      </c>
      <c r="B312" s="177"/>
      <c r="G312" s="177"/>
    </row>
    <row r="313" spans="1:7" x14ac:dyDescent="0.3">
      <c r="A313" s="182" t="s">
        <v>845</v>
      </c>
      <c r="B313" s="177"/>
      <c r="G313" s="177"/>
    </row>
    <row r="314" spans="1:7" x14ac:dyDescent="0.3">
      <c r="A314" s="182" t="s">
        <v>846</v>
      </c>
      <c r="B314" s="177"/>
      <c r="G314" s="177"/>
    </row>
    <row r="315" spans="1:7" x14ac:dyDescent="0.3">
      <c r="A315" s="182" t="s">
        <v>847</v>
      </c>
      <c r="B315" s="177"/>
      <c r="G315" s="177"/>
    </row>
    <row r="316" spans="1:7" x14ac:dyDescent="0.3">
      <c r="A316" s="182" t="s">
        <v>848</v>
      </c>
      <c r="B316" s="177"/>
      <c r="G316" s="177"/>
    </row>
    <row r="317" spans="1:7" x14ac:dyDescent="0.3">
      <c r="A317" s="182" t="s">
        <v>849</v>
      </c>
      <c r="B317" s="177"/>
      <c r="G317" s="177"/>
    </row>
    <row r="318" spans="1:7" x14ac:dyDescent="0.3">
      <c r="A318" s="182" t="s">
        <v>850</v>
      </c>
      <c r="B318" s="177"/>
      <c r="G318" s="177"/>
    </row>
    <row r="319" spans="1:7" x14ac:dyDescent="0.3">
      <c r="A319" s="182" t="s">
        <v>851</v>
      </c>
      <c r="B319" s="177"/>
      <c r="G319" s="177"/>
    </row>
    <row r="320" spans="1:7" x14ac:dyDescent="0.3">
      <c r="A320" s="182" t="s">
        <v>852</v>
      </c>
      <c r="B320" s="177"/>
      <c r="G320" s="177"/>
    </row>
    <row r="321" spans="1:7" x14ac:dyDescent="0.3">
      <c r="A321" s="182" t="s">
        <v>853</v>
      </c>
      <c r="B321" s="177"/>
      <c r="G321" s="177"/>
    </row>
    <row r="322" spans="1:7" x14ac:dyDescent="0.3">
      <c r="A322" s="182" t="s">
        <v>854</v>
      </c>
      <c r="B322" s="177"/>
      <c r="G322" s="177"/>
    </row>
    <row r="323" spans="1:7" x14ac:dyDescent="0.3">
      <c r="A323" s="182" t="s">
        <v>855</v>
      </c>
      <c r="B323" s="177"/>
      <c r="G323" s="177"/>
    </row>
    <row r="324" spans="1:7" x14ac:dyDescent="0.3">
      <c r="A324" s="182" t="s">
        <v>856</v>
      </c>
      <c r="B324" s="177"/>
      <c r="G324" s="177"/>
    </row>
    <row r="325" spans="1:7" x14ac:dyDescent="0.3">
      <c r="A325" s="182" t="s">
        <v>857</v>
      </c>
      <c r="B325" s="177"/>
      <c r="G325" s="177"/>
    </row>
    <row r="326" spans="1:7" x14ac:dyDescent="0.3">
      <c r="A326" s="182" t="s">
        <v>858</v>
      </c>
      <c r="B326" s="177"/>
      <c r="G326" s="177"/>
    </row>
    <row r="327" spans="1:7" x14ac:dyDescent="0.3">
      <c r="A327" s="182" t="s">
        <v>859</v>
      </c>
      <c r="B327" s="177"/>
      <c r="G327" s="177"/>
    </row>
    <row r="328" spans="1:7" x14ac:dyDescent="0.3">
      <c r="A328" s="182" t="s">
        <v>860</v>
      </c>
      <c r="B328" s="177"/>
      <c r="G328" s="177"/>
    </row>
    <row r="329" spans="1:7" x14ac:dyDescent="0.3">
      <c r="A329" s="182" t="s">
        <v>861</v>
      </c>
      <c r="B329" s="177"/>
      <c r="G329" s="177"/>
    </row>
    <row r="330" spans="1:7" x14ac:dyDescent="0.3">
      <c r="A330" s="182" t="s">
        <v>862</v>
      </c>
      <c r="B330" s="177"/>
      <c r="G330" s="177"/>
    </row>
    <row r="331" spans="1:7" x14ac:dyDescent="0.3">
      <c r="A331" s="182" t="s">
        <v>863</v>
      </c>
      <c r="B331" s="177"/>
      <c r="G331" s="177"/>
    </row>
    <row r="332" spans="1:7" x14ac:dyDescent="0.3">
      <c r="A332" s="182" t="s">
        <v>864</v>
      </c>
      <c r="B332" s="177"/>
      <c r="G332" s="177"/>
    </row>
    <row r="333" spans="1:7" x14ac:dyDescent="0.3">
      <c r="A333" s="182" t="s">
        <v>865</v>
      </c>
      <c r="B333" s="177"/>
      <c r="G333" s="177"/>
    </row>
    <row r="334" spans="1:7" x14ac:dyDescent="0.3">
      <c r="A334" s="182" t="s">
        <v>866</v>
      </c>
      <c r="B334" s="177"/>
      <c r="G334" s="177"/>
    </row>
    <row r="335" spans="1:7" x14ac:dyDescent="0.3">
      <c r="A335" s="182" t="s">
        <v>867</v>
      </c>
      <c r="B335" s="177"/>
      <c r="G335" s="177"/>
    </row>
    <row r="336" spans="1:7" x14ac:dyDescent="0.3">
      <c r="A336" s="182" t="s">
        <v>868</v>
      </c>
      <c r="B336" s="177"/>
      <c r="G336" s="177"/>
    </row>
    <row r="337" spans="1:7" x14ac:dyDescent="0.3">
      <c r="A337" s="182" t="s">
        <v>869</v>
      </c>
      <c r="B337" s="177"/>
      <c r="G337" s="177"/>
    </row>
    <row r="338" spans="1:7" x14ac:dyDescent="0.3">
      <c r="A338" s="182" t="s">
        <v>870</v>
      </c>
      <c r="B338" s="177"/>
      <c r="G338" s="177"/>
    </row>
    <row r="339" spans="1:7" x14ac:dyDescent="0.3">
      <c r="A339" s="182" t="s">
        <v>871</v>
      </c>
      <c r="B339" s="177"/>
      <c r="G339" s="177"/>
    </row>
    <row r="340" spans="1:7" x14ac:dyDescent="0.3">
      <c r="A340" s="182" t="s">
        <v>872</v>
      </c>
      <c r="B340" s="177"/>
      <c r="G340" s="177"/>
    </row>
    <row r="341" spans="1:7" x14ac:dyDescent="0.3">
      <c r="A341" s="182" t="s">
        <v>873</v>
      </c>
      <c r="B341" s="177"/>
      <c r="G341" s="177"/>
    </row>
    <row r="342" spans="1:7" x14ac:dyDescent="0.3">
      <c r="A342" s="182" t="s">
        <v>874</v>
      </c>
      <c r="B342" s="177"/>
      <c r="G342" s="177"/>
    </row>
    <row r="343" spans="1:7" x14ac:dyDescent="0.3">
      <c r="A343" s="182" t="s">
        <v>875</v>
      </c>
      <c r="B343" s="177"/>
      <c r="G343" s="177"/>
    </row>
    <row r="344" spans="1:7" x14ac:dyDescent="0.3">
      <c r="A344" s="182" t="s">
        <v>876</v>
      </c>
      <c r="B344" s="177"/>
      <c r="G344" s="177"/>
    </row>
    <row r="345" spans="1:7" x14ac:dyDescent="0.3">
      <c r="A345" s="182" t="s">
        <v>877</v>
      </c>
      <c r="B345" s="177"/>
      <c r="G345" s="177"/>
    </row>
    <row r="346" spans="1:7" x14ac:dyDescent="0.3">
      <c r="A346" s="182" t="s">
        <v>878</v>
      </c>
      <c r="B346" s="177"/>
      <c r="G346" s="177"/>
    </row>
    <row r="347" spans="1:7" x14ac:dyDescent="0.3">
      <c r="A347" s="182" t="s">
        <v>879</v>
      </c>
      <c r="B347" s="177"/>
      <c r="G347" s="177"/>
    </row>
    <row r="348" spans="1:7" x14ac:dyDescent="0.3">
      <c r="A348" s="182" t="s">
        <v>880</v>
      </c>
      <c r="B348" s="177"/>
      <c r="G348" s="177"/>
    </row>
    <row r="349" spans="1:7" x14ac:dyDescent="0.3">
      <c r="A349" s="182" t="s">
        <v>881</v>
      </c>
      <c r="B349" s="177"/>
      <c r="G349" s="177"/>
    </row>
    <row r="350" spans="1:7" x14ac:dyDescent="0.3">
      <c r="A350" s="182" t="s">
        <v>882</v>
      </c>
      <c r="B350" s="177"/>
      <c r="G350" s="177"/>
    </row>
    <row r="351" spans="1:7" x14ac:dyDescent="0.3">
      <c r="A351" s="182" t="s">
        <v>883</v>
      </c>
      <c r="B351" s="177"/>
      <c r="G351" s="177"/>
    </row>
    <row r="352" spans="1:7" x14ac:dyDescent="0.3">
      <c r="A352" s="182" t="s">
        <v>884</v>
      </c>
      <c r="B352" s="177"/>
      <c r="G352" s="177"/>
    </row>
    <row r="353" spans="1:7" x14ac:dyDescent="0.3">
      <c r="A353" s="182" t="s">
        <v>885</v>
      </c>
      <c r="B353" s="177"/>
      <c r="G353" s="177"/>
    </row>
    <row r="354" spans="1:7" x14ac:dyDescent="0.3">
      <c r="A354" s="182" t="s">
        <v>886</v>
      </c>
      <c r="B354" s="177"/>
      <c r="G354" s="177"/>
    </row>
    <row r="355" spans="1:7" x14ac:dyDescent="0.3">
      <c r="A355" s="182" t="s">
        <v>887</v>
      </c>
      <c r="B355" s="177"/>
      <c r="G355" s="177"/>
    </row>
    <row r="356" spans="1:7" x14ac:dyDescent="0.3">
      <c r="A356" s="182" t="s">
        <v>888</v>
      </c>
      <c r="B356" s="177"/>
      <c r="G356" s="177"/>
    </row>
    <row r="357" spans="1:7" x14ac:dyDescent="0.3">
      <c r="A357" s="182" t="s">
        <v>889</v>
      </c>
      <c r="B357" s="177"/>
      <c r="G357" s="177"/>
    </row>
    <row r="358" spans="1:7" x14ac:dyDescent="0.3">
      <c r="A358" s="182" t="s">
        <v>890</v>
      </c>
      <c r="B358" s="177"/>
      <c r="G358" s="177"/>
    </row>
    <row r="359" spans="1:7" x14ac:dyDescent="0.3">
      <c r="A359" s="182" t="s">
        <v>891</v>
      </c>
      <c r="B359" s="177"/>
      <c r="G359" s="177"/>
    </row>
    <row r="360" spans="1:7" x14ac:dyDescent="0.3">
      <c r="A360" s="182" t="s">
        <v>892</v>
      </c>
      <c r="B360" s="177"/>
      <c r="G360" s="177"/>
    </row>
    <row r="361" spans="1:7" x14ac:dyDescent="0.3">
      <c r="A361" s="182" t="s">
        <v>893</v>
      </c>
      <c r="B361" s="177"/>
      <c r="G361" s="177"/>
    </row>
    <row r="362" spans="1:7" x14ac:dyDescent="0.3">
      <c r="A362" s="182" t="s">
        <v>894</v>
      </c>
      <c r="B362" s="177"/>
      <c r="G362" s="177"/>
    </row>
    <row r="363" spans="1:7" x14ac:dyDescent="0.3">
      <c r="A363" s="182" t="s">
        <v>895</v>
      </c>
      <c r="B363" s="177"/>
      <c r="G363" s="177"/>
    </row>
    <row r="364" spans="1:7" x14ac:dyDescent="0.3">
      <c r="A364" s="182" t="s">
        <v>896</v>
      </c>
      <c r="B364" s="177"/>
      <c r="G364" s="177"/>
    </row>
    <row r="365" spans="1:7" x14ac:dyDescent="0.3">
      <c r="A365" s="182" t="s">
        <v>897</v>
      </c>
      <c r="B365" s="177"/>
      <c r="G365" s="177"/>
    </row>
    <row r="366" spans="1:7" x14ac:dyDescent="0.3">
      <c r="A366" s="182" t="s">
        <v>898</v>
      </c>
      <c r="B366" s="177"/>
      <c r="G366" s="177"/>
    </row>
    <row r="367" spans="1:7" x14ac:dyDescent="0.3">
      <c r="A367" s="182" t="s">
        <v>899</v>
      </c>
      <c r="B367" s="177"/>
      <c r="G367" s="177"/>
    </row>
    <row r="368" spans="1:7" x14ac:dyDescent="0.3">
      <c r="A368" s="182" t="s">
        <v>900</v>
      </c>
      <c r="B368" s="177"/>
      <c r="G368" s="177"/>
    </row>
    <row r="369" spans="1:7" x14ac:dyDescent="0.3">
      <c r="A369" s="182" t="s">
        <v>901</v>
      </c>
      <c r="B369" s="177"/>
      <c r="G369" s="177"/>
    </row>
    <row r="370" spans="1:7" x14ac:dyDescent="0.3">
      <c r="A370" s="182" t="s">
        <v>902</v>
      </c>
      <c r="B370" s="177"/>
      <c r="G370" s="177"/>
    </row>
    <row r="371" spans="1:7" x14ac:dyDescent="0.3">
      <c r="A371" s="182" t="s">
        <v>903</v>
      </c>
      <c r="B371" s="177"/>
      <c r="G371" s="177"/>
    </row>
    <row r="372" spans="1:7" x14ac:dyDescent="0.3">
      <c r="A372" s="182" t="s">
        <v>904</v>
      </c>
      <c r="B372" s="177"/>
      <c r="G372" s="177"/>
    </row>
    <row r="373" spans="1:7" x14ac:dyDescent="0.3">
      <c r="A373" s="182" t="s">
        <v>905</v>
      </c>
      <c r="B373" s="177"/>
      <c r="G373" s="177"/>
    </row>
    <row r="374" spans="1:7" x14ac:dyDescent="0.3">
      <c r="A374" s="182" t="s">
        <v>906</v>
      </c>
      <c r="B374" s="177"/>
      <c r="G374" s="177"/>
    </row>
    <row r="375" spans="1:7" x14ac:dyDescent="0.3">
      <c r="A375" s="182" t="s">
        <v>907</v>
      </c>
      <c r="B375" s="177"/>
      <c r="G375" s="177"/>
    </row>
    <row r="376" spans="1:7" x14ac:dyDescent="0.3">
      <c r="A376" s="182" t="s">
        <v>908</v>
      </c>
      <c r="B376" s="177"/>
      <c r="G376" s="177"/>
    </row>
    <row r="377" spans="1:7" x14ac:dyDescent="0.3">
      <c r="A377" s="182" t="s">
        <v>909</v>
      </c>
      <c r="B377" s="177"/>
      <c r="G377" s="177"/>
    </row>
    <row r="378" spans="1:7" x14ac:dyDescent="0.3">
      <c r="A378" s="182" t="s">
        <v>910</v>
      </c>
      <c r="B378" s="177"/>
      <c r="G378" s="177"/>
    </row>
    <row r="379" spans="1:7" x14ac:dyDescent="0.3">
      <c r="A379" s="182" t="s">
        <v>911</v>
      </c>
      <c r="B379" s="177"/>
      <c r="G379" s="177"/>
    </row>
    <row r="380" spans="1:7" x14ac:dyDescent="0.3">
      <c r="A380" s="182" t="s">
        <v>912</v>
      </c>
      <c r="B380" s="177"/>
      <c r="G380" s="177"/>
    </row>
    <row r="381" spans="1:7" x14ac:dyDescent="0.3">
      <c r="A381" s="182" t="s">
        <v>913</v>
      </c>
      <c r="B381" s="177"/>
      <c r="G381" s="177"/>
    </row>
    <row r="382" spans="1:7" x14ac:dyDescent="0.3">
      <c r="A382" s="182" t="s">
        <v>914</v>
      </c>
      <c r="B382" s="177"/>
      <c r="G382" s="177"/>
    </row>
    <row r="383" spans="1:7" x14ac:dyDescent="0.3">
      <c r="A383" s="182" t="s">
        <v>915</v>
      </c>
      <c r="B383" s="177"/>
      <c r="G383" s="177"/>
    </row>
    <row r="384" spans="1:7" x14ac:dyDescent="0.3">
      <c r="A384" s="182" t="s">
        <v>916</v>
      </c>
      <c r="B384" s="177"/>
      <c r="G384" s="177"/>
    </row>
    <row r="385" spans="1:7" x14ac:dyDescent="0.3">
      <c r="A385" s="182" t="s">
        <v>917</v>
      </c>
      <c r="B385" s="177"/>
      <c r="G385" s="177"/>
    </row>
    <row r="386" spans="1:7" x14ac:dyDescent="0.3">
      <c r="A386" s="182" t="s">
        <v>918</v>
      </c>
      <c r="B386" s="177"/>
      <c r="G386" s="177"/>
    </row>
    <row r="387" spans="1:7" x14ac:dyDescent="0.3">
      <c r="A387" s="182" t="s">
        <v>919</v>
      </c>
      <c r="B387" s="177"/>
      <c r="G387" s="177"/>
    </row>
    <row r="388" spans="1:7" x14ac:dyDescent="0.3">
      <c r="A388" s="182" t="s">
        <v>920</v>
      </c>
      <c r="B388" s="177"/>
      <c r="G388" s="177"/>
    </row>
    <row r="389" spans="1:7" x14ac:dyDescent="0.3">
      <c r="A389" s="182" t="s">
        <v>921</v>
      </c>
      <c r="B389" s="177"/>
      <c r="G389" s="177"/>
    </row>
    <row r="390" spans="1:7" x14ac:dyDescent="0.3">
      <c r="A390" s="182" t="s">
        <v>922</v>
      </c>
      <c r="B390" s="177"/>
      <c r="G390" s="177"/>
    </row>
    <row r="391" spans="1:7" x14ac:dyDescent="0.3">
      <c r="A391" s="182" t="s">
        <v>923</v>
      </c>
      <c r="B391" s="177"/>
      <c r="G391" s="177"/>
    </row>
    <row r="392" spans="1:7" x14ac:dyDescent="0.3">
      <c r="A392" s="182" t="s">
        <v>924</v>
      </c>
      <c r="B392" s="177"/>
      <c r="G392" s="177"/>
    </row>
    <row r="393" spans="1:7" x14ac:dyDescent="0.3">
      <c r="A393" s="182" t="s">
        <v>925</v>
      </c>
      <c r="B393" s="177"/>
      <c r="G393" s="177"/>
    </row>
    <row r="394" spans="1:7" x14ac:dyDescent="0.3">
      <c r="A394" s="182" t="s">
        <v>926</v>
      </c>
      <c r="B394" s="177"/>
      <c r="G394" s="177"/>
    </row>
    <row r="395" spans="1:7" x14ac:dyDescent="0.3">
      <c r="A395" s="182" t="s">
        <v>927</v>
      </c>
      <c r="B395" s="177"/>
      <c r="G395" s="177"/>
    </row>
    <row r="396" spans="1:7" x14ac:dyDescent="0.3">
      <c r="A396" s="182" t="s">
        <v>928</v>
      </c>
      <c r="B396" s="177"/>
      <c r="G396" s="177"/>
    </row>
    <row r="397" spans="1:7" x14ac:dyDescent="0.3">
      <c r="A397" s="182" t="s">
        <v>929</v>
      </c>
      <c r="B397" s="177"/>
      <c r="G397" s="177"/>
    </row>
    <row r="398" spans="1:7" x14ac:dyDescent="0.3">
      <c r="A398" s="182" t="s">
        <v>930</v>
      </c>
      <c r="B398" s="177"/>
      <c r="G398" s="177"/>
    </row>
    <row r="399" spans="1:7" x14ac:dyDescent="0.3">
      <c r="A399" s="182" t="s">
        <v>931</v>
      </c>
      <c r="B399" s="177"/>
      <c r="G399" s="177"/>
    </row>
    <row r="400" spans="1:7" x14ac:dyDescent="0.3">
      <c r="A400" s="182" t="s">
        <v>932</v>
      </c>
      <c r="B400" s="177"/>
      <c r="G400" s="177"/>
    </row>
    <row r="401" spans="1:7" x14ac:dyDescent="0.3">
      <c r="A401" s="182" t="s">
        <v>933</v>
      </c>
      <c r="B401" s="177"/>
      <c r="G401" s="177"/>
    </row>
    <row r="402" spans="1:7" x14ac:dyDescent="0.3">
      <c r="A402" s="182" t="s">
        <v>934</v>
      </c>
      <c r="B402" s="177"/>
      <c r="G402" s="177"/>
    </row>
    <row r="403" spans="1:7" x14ac:dyDescent="0.3">
      <c r="A403" s="182" t="s">
        <v>935</v>
      </c>
      <c r="B403" s="177"/>
      <c r="G403" s="177"/>
    </row>
    <row r="404" spans="1:7" x14ac:dyDescent="0.3">
      <c r="A404" s="182" t="s">
        <v>936</v>
      </c>
      <c r="B404" s="177"/>
      <c r="G404" s="177"/>
    </row>
    <row r="405" spans="1:7" x14ac:dyDescent="0.3">
      <c r="A405" s="182" t="s">
        <v>937</v>
      </c>
      <c r="B405" s="177"/>
      <c r="G405" s="177"/>
    </row>
    <row r="406" spans="1:7" x14ac:dyDescent="0.3">
      <c r="A406" s="182" t="s">
        <v>938</v>
      </c>
      <c r="B406" s="177"/>
      <c r="G406" s="177"/>
    </row>
    <row r="407" spans="1:7" x14ac:dyDescent="0.3">
      <c r="A407" s="182" t="s">
        <v>939</v>
      </c>
      <c r="B407" s="177"/>
      <c r="G407" s="177"/>
    </row>
    <row r="408" spans="1:7" x14ac:dyDescent="0.3">
      <c r="A408" s="182" t="s">
        <v>940</v>
      </c>
      <c r="B408" s="177"/>
      <c r="G408" s="177"/>
    </row>
    <row r="409" spans="1:7" x14ac:dyDescent="0.3">
      <c r="A409" s="182" t="s">
        <v>941</v>
      </c>
      <c r="B409" s="177"/>
      <c r="G409" s="177"/>
    </row>
    <row r="410" spans="1:7" x14ac:dyDescent="0.3">
      <c r="A410" s="182" t="s">
        <v>942</v>
      </c>
      <c r="B410" s="177"/>
      <c r="G410" s="177"/>
    </row>
    <row r="411" spans="1:7" x14ac:dyDescent="0.3">
      <c r="A411" s="182" t="s">
        <v>943</v>
      </c>
      <c r="B411" s="177"/>
      <c r="G411" s="177"/>
    </row>
    <row r="412" spans="1:7" x14ac:dyDescent="0.3">
      <c r="A412" s="182" t="s">
        <v>944</v>
      </c>
      <c r="B412" s="177"/>
      <c r="G412" s="177"/>
    </row>
    <row r="413" spans="1:7" x14ac:dyDescent="0.3">
      <c r="A413" s="182" t="s">
        <v>945</v>
      </c>
      <c r="B413" s="177"/>
      <c r="G413" s="177"/>
    </row>
    <row r="414" spans="1:7" x14ac:dyDescent="0.3">
      <c r="A414" s="182" t="s">
        <v>946</v>
      </c>
      <c r="B414" s="177"/>
      <c r="G414" s="177"/>
    </row>
    <row r="415" spans="1:7" x14ac:dyDescent="0.3">
      <c r="A415" s="182" t="s">
        <v>947</v>
      </c>
      <c r="B415" s="177"/>
      <c r="G415" s="177"/>
    </row>
    <row r="416" spans="1:7" x14ac:dyDescent="0.3">
      <c r="A416" s="182" t="s">
        <v>948</v>
      </c>
      <c r="B416" s="177"/>
      <c r="G416" s="177"/>
    </row>
    <row r="417" spans="1:7" x14ac:dyDescent="0.3">
      <c r="A417" s="182" t="s">
        <v>949</v>
      </c>
      <c r="B417" s="177"/>
      <c r="G417" s="177"/>
    </row>
    <row r="418" spans="1:7" x14ac:dyDescent="0.3">
      <c r="A418" s="182" t="s">
        <v>950</v>
      </c>
      <c r="B418" s="177"/>
      <c r="G418" s="177"/>
    </row>
    <row r="419" spans="1:7" x14ac:dyDescent="0.3">
      <c r="A419" s="182" t="s">
        <v>951</v>
      </c>
      <c r="B419" s="177"/>
      <c r="G419" s="177"/>
    </row>
    <row r="420" spans="1:7" x14ac:dyDescent="0.3">
      <c r="A420" s="182" t="s">
        <v>952</v>
      </c>
      <c r="B420" s="177"/>
      <c r="G420" s="177"/>
    </row>
    <row r="421" spans="1:7" x14ac:dyDescent="0.3">
      <c r="A421" s="182" t="s">
        <v>953</v>
      </c>
      <c r="B421" s="177"/>
      <c r="G421" s="177"/>
    </row>
    <row r="422" spans="1:7" x14ac:dyDescent="0.3">
      <c r="A422" s="182" t="s">
        <v>954</v>
      </c>
      <c r="B422" s="177"/>
      <c r="G422" s="177"/>
    </row>
    <row r="423" spans="1:7" x14ac:dyDescent="0.3">
      <c r="A423" s="182" t="s">
        <v>955</v>
      </c>
      <c r="B423" s="177"/>
      <c r="G423" s="177"/>
    </row>
    <row r="424" spans="1:7" x14ac:dyDescent="0.3">
      <c r="A424" s="182" t="s">
        <v>956</v>
      </c>
      <c r="B424" s="177"/>
      <c r="G424" s="177"/>
    </row>
    <row r="425" spans="1:7" x14ac:dyDescent="0.3">
      <c r="A425" s="182" t="s">
        <v>957</v>
      </c>
      <c r="B425" s="177"/>
      <c r="G425" s="177"/>
    </row>
    <row r="426" spans="1:7" x14ac:dyDescent="0.3">
      <c r="A426" s="182" t="s">
        <v>958</v>
      </c>
      <c r="B426" s="177"/>
      <c r="G426" s="177"/>
    </row>
    <row r="427" spans="1:7" x14ac:dyDescent="0.3">
      <c r="A427" s="182" t="s">
        <v>959</v>
      </c>
      <c r="B427" s="177"/>
      <c r="G427" s="177"/>
    </row>
    <row r="428" spans="1:7" x14ac:dyDescent="0.3">
      <c r="A428" s="182" t="s">
        <v>960</v>
      </c>
      <c r="B428" s="177"/>
      <c r="G428" s="177"/>
    </row>
    <row r="429" spans="1:7" x14ac:dyDescent="0.3">
      <c r="A429" s="182" t="s">
        <v>961</v>
      </c>
      <c r="B429" s="177"/>
      <c r="G429" s="177"/>
    </row>
    <row r="430" spans="1:7" x14ac:dyDescent="0.3">
      <c r="A430" s="182" t="s">
        <v>962</v>
      </c>
      <c r="B430" s="177"/>
      <c r="G430" s="177"/>
    </row>
    <row r="431" spans="1:7" x14ac:dyDescent="0.3">
      <c r="A431" s="182" t="s">
        <v>963</v>
      </c>
      <c r="B431" s="177"/>
      <c r="G431" s="177"/>
    </row>
    <row r="432" spans="1:7" x14ac:dyDescent="0.3">
      <c r="A432" s="182" t="s">
        <v>964</v>
      </c>
      <c r="B432" s="177"/>
      <c r="G432" s="177"/>
    </row>
    <row r="433" spans="1:7" x14ac:dyDescent="0.3">
      <c r="A433" s="182" t="s">
        <v>965</v>
      </c>
      <c r="B433" s="177"/>
      <c r="G433" s="177"/>
    </row>
    <row r="434" spans="1:7" x14ac:dyDescent="0.3">
      <c r="A434" s="182" t="s">
        <v>966</v>
      </c>
      <c r="B434" s="177"/>
      <c r="G434" s="177"/>
    </row>
    <row r="435" spans="1:7" x14ac:dyDescent="0.3">
      <c r="A435" s="182" t="s">
        <v>967</v>
      </c>
      <c r="B435" s="177"/>
      <c r="G435" s="177"/>
    </row>
    <row r="436" spans="1:7" x14ac:dyDescent="0.3">
      <c r="A436" s="182" t="s">
        <v>968</v>
      </c>
      <c r="B436" s="177"/>
      <c r="G436" s="177"/>
    </row>
    <row r="437" spans="1:7" x14ac:dyDescent="0.3">
      <c r="A437" s="182" t="s">
        <v>969</v>
      </c>
      <c r="B437" s="177"/>
      <c r="G437" s="177"/>
    </row>
    <row r="438" spans="1:7" x14ac:dyDescent="0.3">
      <c r="A438" s="182" t="s">
        <v>970</v>
      </c>
      <c r="B438" s="177"/>
      <c r="G438" s="177"/>
    </row>
    <row r="439" spans="1:7" x14ac:dyDescent="0.3">
      <c r="A439" s="182" t="s">
        <v>971</v>
      </c>
      <c r="B439" s="177"/>
      <c r="G439" s="177"/>
    </row>
    <row r="440" spans="1:7" x14ac:dyDescent="0.3">
      <c r="A440" s="182" t="s">
        <v>972</v>
      </c>
      <c r="B440" s="177"/>
      <c r="G440" s="177"/>
    </row>
    <row r="441" spans="1:7" x14ac:dyDescent="0.3">
      <c r="A441" s="182" t="s">
        <v>973</v>
      </c>
      <c r="B441" s="177"/>
      <c r="G441" s="177"/>
    </row>
    <row r="442" spans="1:7" x14ac:dyDescent="0.3">
      <c r="A442" s="182" t="s">
        <v>974</v>
      </c>
      <c r="B442" s="177"/>
      <c r="G442" s="177"/>
    </row>
    <row r="443" spans="1:7" x14ac:dyDescent="0.3">
      <c r="A443" s="182" t="s">
        <v>975</v>
      </c>
      <c r="B443" s="177"/>
      <c r="G443" s="177"/>
    </row>
    <row r="444" spans="1:7" x14ac:dyDescent="0.3">
      <c r="A444" s="182" t="s">
        <v>976</v>
      </c>
      <c r="B444" s="177"/>
      <c r="G444" s="177"/>
    </row>
    <row r="445" spans="1:7" x14ac:dyDescent="0.3">
      <c r="A445" s="182" t="s">
        <v>977</v>
      </c>
      <c r="B445" s="177"/>
      <c r="G445" s="177"/>
    </row>
    <row r="446" spans="1:7" x14ac:dyDescent="0.3">
      <c r="A446" s="182" t="s">
        <v>978</v>
      </c>
      <c r="B446" s="177"/>
      <c r="G446" s="177"/>
    </row>
    <row r="447" spans="1:7" x14ac:dyDescent="0.3">
      <c r="A447" s="182" t="s">
        <v>979</v>
      </c>
      <c r="B447" s="177"/>
      <c r="G447" s="177"/>
    </row>
    <row r="448" spans="1:7" x14ac:dyDescent="0.3">
      <c r="A448" s="182" t="s">
        <v>980</v>
      </c>
      <c r="B448" s="177"/>
      <c r="G448" s="177"/>
    </row>
    <row r="449" spans="1:7" x14ac:dyDescent="0.3">
      <c r="A449" s="182" t="s">
        <v>981</v>
      </c>
      <c r="B449" s="177"/>
      <c r="G449" s="177"/>
    </row>
    <row r="450" spans="1:7" x14ac:dyDescent="0.3">
      <c r="A450" s="182" t="s">
        <v>982</v>
      </c>
      <c r="B450" s="177"/>
      <c r="G450" s="177"/>
    </row>
    <row r="451" spans="1:7" x14ac:dyDescent="0.3">
      <c r="A451" s="182" t="s">
        <v>983</v>
      </c>
      <c r="B451" s="177"/>
      <c r="G451" s="177"/>
    </row>
    <row r="452" spans="1:7" x14ac:dyDescent="0.3">
      <c r="A452" s="182" t="s">
        <v>984</v>
      </c>
      <c r="B452" s="177"/>
      <c r="G452" s="177"/>
    </row>
    <row r="453" spans="1:7" x14ac:dyDescent="0.3">
      <c r="A453" s="182" t="s">
        <v>985</v>
      </c>
      <c r="B453" s="177"/>
      <c r="G453" s="177"/>
    </row>
    <row r="454" spans="1:7" x14ac:dyDescent="0.3">
      <c r="A454" s="182" t="s">
        <v>986</v>
      </c>
      <c r="B454" s="177"/>
      <c r="G454" s="177"/>
    </row>
    <row r="455" spans="1:7" x14ac:dyDescent="0.3">
      <c r="A455" s="182" t="s">
        <v>987</v>
      </c>
      <c r="B455" s="177"/>
      <c r="G455" s="177"/>
    </row>
    <row r="456" spans="1:7" x14ac:dyDescent="0.3">
      <c r="A456" s="182" t="s">
        <v>988</v>
      </c>
      <c r="B456" s="177"/>
      <c r="G456" s="177"/>
    </row>
    <row r="457" spans="1:7" x14ac:dyDescent="0.3">
      <c r="A457" s="182" t="s">
        <v>989</v>
      </c>
      <c r="B457" s="177"/>
      <c r="G457" s="177"/>
    </row>
    <row r="458" spans="1:7" x14ac:dyDescent="0.3">
      <c r="A458" s="182" t="s">
        <v>990</v>
      </c>
      <c r="B458" s="177"/>
      <c r="G458" s="177"/>
    </row>
    <row r="459" spans="1:7" x14ac:dyDescent="0.3">
      <c r="A459" s="182" t="s">
        <v>991</v>
      </c>
      <c r="B459" s="177"/>
      <c r="G459" s="177"/>
    </row>
    <row r="460" spans="1:7" x14ac:dyDescent="0.3">
      <c r="A460" s="182" t="s">
        <v>992</v>
      </c>
      <c r="B460" s="177"/>
      <c r="G460" s="177"/>
    </row>
    <row r="461" spans="1:7" x14ac:dyDescent="0.3">
      <c r="A461" s="182" t="s">
        <v>993</v>
      </c>
      <c r="B461" s="177"/>
      <c r="G461" s="177"/>
    </row>
    <row r="462" spans="1:7" x14ac:dyDescent="0.3">
      <c r="A462" s="182" t="s">
        <v>994</v>
      </c>
      <c r="B462" s="177"/>
      <c r="G462" s="177"/>
    </row>
    <row r="463" spans="1:7" x14ac:dyDescent="0.3">
      <c r="A463" s="182" t="s">
        <v>995</v>
      </c>
      <c r="B463" s="177"/>
      <c r="G463" s="177"/>
    </row>
    <row r="464" spans="1:7" x14ac:dyDescent="0.3">
      <c r="A464" s="182" t="s">
        <v>996</v>
      </c>
      <c r="B464" s="177"/>
      <c r="G464" s="177"/>
    </row>
    <row r="465" spans="1:7" x14ac:dyDescent="0.3">
      <c r="A465" s="182" t="s">
        <v>997</v>
      </c>
      <c r="B465" s="177"/>
      <c r="G465" s="177"/>
    </row>
    <row r="466" spans="1:7" x14ac:dyDescent="0.3">
      <c r="A466" s="182" t="s">
        <v>998</v>
      </c>
      <c r="B466" s="177"/>
      <c r="G466" s="177"/>
    </row>
    <row r="467" spans="1:7" x14ac:dyDescent="0.3">
      <c r="A467" s="182" t="s">
        <v>999</v>
      </c>
      <c r="B467" s="177"/>
      <c r="G467" s="177"/>
    </row>
    <row r="468" spans="1:7" x14ac:dyDescent="0.3">
      <c r="A468" s="182" t="s">
        <v>1000</v>
      </c>
      <c r="B468" s="177"/>
      <c r="G468" s="177"/>
    </row>
    <row r="469" spans="1:7" x14ac:dyDescent="0.3">
      <c r="A469" s="182" t="s">
        <v>1001</v>
      </c>
      <c r="B469" s="177"/>
      <c r="G469" s="177"/>
    </row>
    <row r="470" spans="1:7" x14ac:dyDescent="0.3">
      <c r="A470" s="182" t="s">
        <v>1002</v>
      </c>
      <c r="B470" s="177"/>
      <c r="G470" s="177"/>
    </row>
    <row r="471" spans="1:7" x14ac:dyDescent="0.3">
      <c r="A471" s="182" t="s">
        <v>1003</v>
      </c>
      <c r="B471" s="177"/>
      <c r="G471" s="177"/>
    </row>
    <row r="472" spans="1:7" x14ac:dyDescent="0.3">
      <c r="A472" s="182" t="s">
        <v>1004</v>
      </c>
      <c r="B472" s="177"/>
      <c r="G472" s="177"/>
    </row>
    <row r="473" spans="1:7" x14ac:dyDescent="0.3">
      <c r="A473" s="182" t="s">
        <v>1005</v>
      </c>
      <c r="B473" s="177"/>
      <c r="G473" s="177"/>
    </row>
    <row r="474" spans="1:7" x14ac:dyDescent="0.3">
      <c r="A474" s="182" t="s">
        <v>1006</v>
      </c>
      <c r="B474" s="177"/>
      <c r="G474" s="177"/>
    </row>
    <row r="475" spans="1:7" x14ac:dyDescent="0.3">
      <c r="A475" s="182" t="s">
        <v>1007</v>
      </c>
      <c r="B475" s="177"/>
      <c r="G475" s="177"/>
    </row>
    <row r="476" spans="1:7" x14ac:dyDescent="0.3">
      <c r="A476" s="182" t="s">
        <v>1008</v>
      </c>
      <c r="B476" s="177"/>
      <c r="G476" s="177"/>
    </row>
    <row r="477" spans="1:7" x14ac:dyDescent="0.3">
      <c r="A477" s="182" t="s">
        <v>1009</v>
      </c>
      <c r="B477" s="177"/>
      <c r="G477" s="177"/>
    </row>
    <row r="478" spans="1:7" x14ac:dyDescent="0.3">
      <c r="A478" s="182" t="s">
        <v>1010</v>
      </c>
      <c r="B478" s="177"/>
      <c r="G478" s="177"/>
    </row>
    <row r="479" spans="1:7" x14ac:dyDescent="0.3">
      <c r="A479" s="182" t="s">
        <v>1011</v>
      </c>
      <c r="B479" s="177"/>
      <c r="G479" s="177"/>
    </row>
    <row r="480" spans="1:7" x14ac:dyDescent="0.3">
      <c r="A480" s="182" t="s">
        <v>1012</v>
      </c>
      <c r="B480" s="177"/>
      <c r="G480" s="177"/>
    </row>
    <row r="481" spans="1:7" x14ac:dyDescent="0.3">
      <c r="A481" s="182" t="s">
        <v>1013</v>
      </c>
      <c r="B481" s="177"/>
      <c r="G481" s="177"/>
    </row>
    <row r="482" spans="1:7" x14ac:dyDescent="0.3">
      <c r="A482" s="182" t="s">
        <v>1014</v>
      </c>
      <c r="B482" s="177"/>
      <c r="G482" s="177"/>
    </row>
    <row r="483" spans="1:7" x14ac:dyDescent="0.3">
      <c r="A483" s="182" t="s">
        <v>1015</v>
      </c>
      <c r="B483" s="177"/>
      <c r="G483" s="177"/>
    </row>
    <row r="484" spans="1:7" x14ac:dyDescent="0.3">
      <c r="A484" s="182" t="s">
        <v>1016</v>
      </c>
      <c r="B484" s="177"/>
      <c r="G484" s="177"/>
    </row>
    <row r="485" spans="1:7" x14ac:dyDescent="0.3">
      <c r="A485" s="182" t="s">
        <v>1017</v>
      </c>
      <c r="B485" s="177"/>
      <c r="G485" s="177"/>
    </row>
    <row r="486" spans="1:7" x14ac:dyDescent="0.3">
      <c r="A486" s="182" t="s">
        <v>1018</v>
      </c>
      <c r="B486" s="177"/>
      <c r="G486" s="177"/>
    </row>
    <row r="487" spans="1:7" x14ac:dyDescent="0.3">
      <c r="A487" s="182" t="s">
        <v>1019</v>
      </c>
      <c r="B487" s="177"/>
      <c r="G487" s="177"/>
    </row>
    <row r="488" spans="1:7" x14ac:dyDescent="0.3">
      <c r="A488" s="182" t="s">
        <v>1020</v>
      </c>
      <c r="B488" s="177"/>
      <c r="G488" s="177"/>
    </row>
    <row r="489" spans="1:7" x14ac:dyDescent="0.3">
      <c r="A489" s="182" t="s">
        <v>1021</v>
      </c>
      <c r="B489" s="177"/>
      <c r="G489" s="177"/>
    </row>
    <row r="490" spans="1:7" x14ac:dyDescent="0.3">
      <c r="A490" s="182" t="s">
        <v>1022</v>
      </c>
      <c r="B490" s="177"/>
      <c r="G490" s="177"/>
    </row>
    <row r="491" spans="1:7" x14ac:dyDescent="0.3">
      <c r="A491" s="182" t="s">
        <v>1023</v>
      </c>
      <c r="B491" s="177"/>
      <c r="G491" s="177"/>
    </row>
    <row r="492" spans="1:7" x14ac:dyDescent="0.3">
      <c r="A492" s="182" t="s">
        <v>1024</v>
      </c>
      <c r="B492" s="177"/>
      <c r="G492" s="177"/>
    </row>
    <row r="493" spans="1:7" x14ac:dyDescent="0.3">
      <c r="A493" s="182" t="s">
        <v>1025</v>
      </c>
      <c r="B493" s="177"/>
      <c r="G493" s="177"/>
    </row>
    <row r="494" spans="1:7" x14ac:dyDescent="0.3">
      <c r="A494" s="182" t="s">
        <v>1026</v>
      </c>
      <c r="B494" s="177"/>
      <c r="G494" s="177"/>
    </row>
    <row r="495" spans="1:7" x14ac:dyDescent="0.3">
      <c r="A495" s="182" t="s">
        <v>1027</v>
      </c>
      <c r="B495" s="177"/>
      <c r="G495" s="177"/>
    </row>
    <row r="496" spans="1:7" x14ac:dyDescent="0.3">
      <c r="A496" s="182" t="s">
        <v>1028</v>
      </c>
      <c r="B496" s="177"/>
      <c r="G496" s="177"/>
    </row>
    <row r="497" spans="1:7" x14ac:dyDescent="0.3">
      <c r="A497" s="182" t="s">
        <v>1029</v>
      </c>
      <c r="B497" s="177"/>
      <c r="G497" s="177"/>
    </row>
    <row r="498" spans="1:7" x14ac:dyDescent="0.3">
      <c r="A498" s="182" t="s">
        <v>1030</v>
      </c>
      <c r="B498" s="177"/>
      <c r="G498" s="177"/>
    </row>
    <row r="499" spans="1:7" x14ac:dyDescent="0.3">
      <c r="A499" s="182" t="s">
        <v>1031</v>
      </c>
      <c r="B499" s="177"/>
      <c r="G499" s="177"/>
    </row>
    <row r="500" spans="1:7" x14ac:dyDescent="0.3">
      <c r="A500" s="182" t="s">
        <v>1032</v>
      </c>
      <c r="B500" s="177"/>
      <c r="G500" s="177"/>
    </row>
    <row r="501" spans="1:7" x14ac:dyDescent="0.3">
      <c r="A501" s="182" t="s">
        <v>1033</v>
      </c>
      <c r="B501" s="177"/>
      <c r="G501" s="177"/>
    </row>
    <row r="502" spans="1:7" x14ac:dyDescent="0.3">
      <c r="A502" s="182" t="s">
        <v>1034</v>
      </c>
      <c r="B502" s="177"/>
      <c r="G502" s="177"/>
    </row>
    <row r="503" spans="1:7" x14ac:dyDescent="0.3">
      <c r="A503" s="182" t="s">
        <v>1035</v>
      </c>
      <c r="B503" s="177"/>
      <c r="G503" s="177"/>
    </row>
    <row r="504" spans="1:7" x14ac:dyDescent="0.3">
      <c r="A504" s="182" t="s">
        <v>1036</v>
      </c>
      <c r="B504" s="177"/>
      <c r="G504" s="177"/>
    </row>
    <row r="505" spans="1:7" x14ac:dyDescent="0.3">
      <c r="A505" s="182" t="s">
        <v>1037</v>
      </c>
      <c r="B505" s="177"/>
      <c r="G505" s="177"/>
    </row>
    <row r="506" spans="1:7" x14ac:dyDescent="0.3">
      <c r="A506" s="182" t="s">
        <v>1038</v>
      </c>
      <c r="B506" s="177"/>
      <c r="G506" s="177"/>
    </row>
    <row r="507" spans="1:7" x14ac:dyDescent="0.3">
      <c r="A507" s="182" t="s">
        <v>1039</v>
      </c>
      <c r="B507" s="177"/>
      <c r="G507" s="177"/>
    </row>
    <row r="508" spans="1:7" x14ac:dyDescent="0.3">
      <c r="A508" s="182" t="s">
        <v>1040</v>
      </c>
      <c r="B508" s="177"/>
      <c r="G508" s="177"/>
    </row>
    <row r="509" spans="1:7" x14ac:dyDescent="0.3">
      <c r="A509" s="182" t="s">
        <v>1041</v>
      </c>
      <c r="B509" s="177"/>
      <c r="G509" s="177"/>
    </row>
    <row r="510" spans="1:7" x14ac:dyDescent="0.3">
      <c r="A510" s="182" t="s">
        <v>1042</v>
      </c>
      <c r="B510" s="177"/>
      <c r="G510" s="177"/>
    </row>
    <row r="511" spans="1:7" x14ac:dyDescent="0.3">
      <c r="A511" s="182" t="s">
        <v>1043</v>
      </c>
      <c r="B511" s="177"/>
      <c r="G511" s="177"/>
    </row>
    <row r="512" spans="1:7" x14ac:dyDescent="0.3">
      <c r="A512" s="182" t="s">
        <v>1044</v>
      </c>
      <c r="B512" s="177"/>
      <c r="G512" s="177"/>
    </row>
    <row r="513" spans="1:7" x14ac:dyDescent="0.3">
      <c r="A513" s="182" t="s">
        <v>1045</v>
      </c>
      <c r="B513" s="177"/>
      <c r="G513" s="177"/>
    </row>
    <row r="514" spans="1:7" x14ac:dyDescent="0.3">
      <c r="A514" s="182" t="s">
        <v>1046</v>
      </c>
      <c r="B514" s="177"/>
      <c r="G514" s="177"/>
    </row>
    <row r="515" spans="1:7" x14ac:dyDescent="0.3">
      <c r="A515" s="182" t="s">
        <v>1047</v>
      </c>
      <c r="B515" s="177"/>
      <c r="G515" s="177"/>
    </row>
    <row r="516" spans="1:7" x14ac:dyDescent="0.3">
      <c r="A516" s="182" t="s">
        <v>1048</v>
      </c>
      <c r="B516" s="177"/>
      <c r="G516" s="177"/>
    </row>
    <row r="517" spans="1:7" x14ac:dyDescent="0.3">
      <c r="A517" s="182" t="s">
        <v>1049</v>
      </c>
      <c r="B517" s="177"/>
      <c r="G517" s="177"/>
    </row>
    <row r="518" spans="1:7" x14ac:dyDescent="0.3">
      <c r="A518" s="182" t="s">
        <v>1050</v>
      </c>
      <c r="B518" s="177"/>
      <c r="G518" s="177"/>
    </row>
    <row r="519" spans="1:7" x14ac:dyDescent="0.3">
      <c r="A519" s="182" t="s">
        <v>1051</v>
      </c>
      <c r="B519" s="177"/>
      <c r="G519" s="177"/>
    </row>
    <row r="520" spans="1:7" x14ac:dyDescent="0.3">
      <c r="A520" s="182" t="s">
        <v>1052</v>
      </c>
      <c r="B520" s="177"/>
      <c r="G520" s="177"/>
    </row>
    <row r="521" spans="1:7" x14ac:dyDescent="0.3">
      <c r="A521" s="182" t="s">
        <v>1053</v>
      </c>
      <c r="B521" s="177"/>
      <c r="G521" s="177"/>
    </row>
    <row r="522" spans="1:7" x14ac:dyDescent="0.3">
      <c r="A522" s="182" t="s">
        <v>1054</v>
      </c>
      <c r="B522" s="177"/>
      <c r="G522" s="177"/>
    </row>
    <row r="523" spans="1:7" x14ac:dyDescent="0.3">
      <c r="A523" s="182" t="s">
        <v>1055</v>
      </c>
      <c r="B523" s="177"/>
      <c r="G523" s="177"/>
    </row>
    <row r="524" spans="1:7" x14ac:dyDescent="0.3">
      <c r="A524" s="182" t="s">
        <v>1056</v>
      </c>
      <c r="B524" s="177"/>
      <c r="G524" s="177"/>
    </row>
    <row r="525" spans="1:7" x14ac:dyDescent="0.3">
      <c r="A525" s="182" t="s">
        <v>1057</v>
      </c>
      <c r="B525" s="177"/>
      <c r="G525" s="177"/>
    </row>
    <row r="526" spans="1:7" x14ac:dyDescent="0.3">
      <c r="A526" s="182" t="s">
        <v>1058</v>
      </c>
      <c r="B526" s="177"/>
      <c r="G526" s="177"/>
    </row>
    <row r="527" spans="1:7" x14ac:dyDescent="0.3">
      <c r="A527" s="182" t="s">
        <v>1059</v>
      </c>
      <c r="B527" s="177"/>
      <c r="G527" s="177"/>
    </row>
    <row r="528" spans="1:7" x14ac:dyDescent="0.3">
      <c r="A528" s="182" t="s">
        <v>1060</v>
      </c>
      <c r="B528" s="177"/>
      <c r="G528" s="177"/>
    </row>
    <row r="529" spans="1:7" x14ac:dyDescent="0.3">
      <c r="A529" s="182" t="s">
        <v>1061</v>
      </c>
      <c r="B529" s="177"/>
      <c r="G529" s="177"/>
    </row>
    <row r="530" spans="1:7" x14ac:dyDescent="0.3">
      <c r="A530" s="182" t="s">
        <v>1062</v>
      </c>
      <c r="B530" s="177"/>
      <c r="G530" s="177"/>
    </row>
    <row r="531" spans="1:7" x14ac:dyDescent="0.3">
      <c r="A531" s="182" t="s">
        <v>1063</v>
      </c>
      <c r="B531" s="177"/>
      <c r="G531" s="177"/>
    </row>
    <row r="532" spans="1:7" x14ac:dyDescent="0.3">
      <c r="A532" s="182" t="s">
        <v>1064</v>
      </c>
      <c r="B532" s="177"/>
      <c r="G532" s="177"/>
    </row>
    <row r="533" spans="1:7" x14ac:dyDescent="0.3">
      <c r="A533" s="182" t="s">
        <v>1065</v>
      </c>
      <c r="B533" s="177"/>
      <c r="G533" s="177"/>
    </row>
    <row r="534" spans="1:7" x14ac:dyDescent="0.3">
      <c r="A534" s="182" t="s">
        <v>1066</v>
      </c>
      <c r="B534" s="177"/>
      <c r="G534" s="177"/>
    </row>
    <row r="535" spans="1:7" x14ac:dyDescent="0.3">
      <c r="A535" s="182" t="s">
        <v>1067</v>
      </c>
      <c r="B535" s="177"/>
      <c r="G535" s="177"/>
    </row>
    <row r="536" spans="1:7" x14ac:dyDescent="0.3">
      <c r="A536" s="182" t="s">
        <v>1068</v>
      </c>
      <c r="B536" s="177"/>
      <c r="G536" s="177"/>
    </row>
    <row r="537" spans="1:7" x14ac:dyDescent="0.3">
      <c r="A537" s="182" t="s">
        <v>1069</v>
      </c>
      <c r="B537" s="177"/>
      <c r="G537" s="177"/>
    </row>
    <row r="538" spans="1:7" x14ac:dyDescent="0.3">
      <c r="A538" s="182" t="s">
        <v>1070</v>
      </c>
      <c r="B538" s="177"/>
      <c r="G538" s="177"/>
    </row>
    <row r="539" spans="1:7" x14ac:dyDescent="0.3">
      <c r="A539" s="182" t="s">
        <v>1071</v>
      </c>
      <c r="B539" s="177"/>
      <c r="G539" s="177"/>
    </row>
    <row r="540" spans="1:7" x14ac:dyDescent="0.3">
      <c r="A540" s="182" t="s">
        <v>1072</v>
      </c>
      <c r="B540" s="177"/>
      <c r="G540" s="177"/>
    </row>
    <row r="541" spans="1:7" x14ac:dyDescent="0.3">
      <c r="A541" s="182" t="s">
        <v>1073</v>
      </c>
      <c r="B541" s="177"/>
      <c r="G541" s="177"/>
    </row>
    <row r="542" spans="1:7" x14ac:dyDescent="0.3">
      <c r="A542" s="182" t="s">
        <v>1074</v>
      </c>
      <c r="B542" s="177"/>
      <c r="G542" s="177"/>
    </row>
    <row r="543" spans="1:7" x14ac:dyDescent="0.3">
      <c r="A543" s="182" t="s">
        <v>1075</v>
      </c>
      <c r="B543" s="177"/>
      <c r="G543" s="177"/>
    </row>
    <row r="544" spans="1:7" x14ac:dyDescent="0.3">
      <c r="A544" s="182" t="s">
        <v>1076</v>
      </c>
      <c r="B544" s="177"/>
      <c r="G544" s="177"/>
    </row>
    <row r="545" spans="1:7" x14ac:dyDescent="0.3">
      <c r="A545" s="182" t="s">
        <v>1077</v>
      </c>
      <c r="B545" s="177"/>
      <c r="G545" s="177"/>
    </row>
    <row r="546" spans="1:7" x14ac:dyDescent="0.3">
      <c r="A546" s="182" t="s">
        <v>1078</v>
      </c>
      <c r="B546" s="177"/>
      <c r="G546" s="177"/>
    </row>
    <row r="547" spans="1:7" x14ac:dyDescent="0.3">
      <c r="A547" s="182" t="s">
        <v>1079</v>
      </c>
      <c r="B547" s="177"/>
      <c r="G547" s="177"/>
    </row>
    <row r="548" spans="1:7" x14ac:dyDescent="0.3">
      <c r="A548" s="182" t="s">
        <v>1080</v>
      </c>
      <c r="B548" s="177"/>
      <c r="G548" s="177"/>
    </row>
    <row r="549" spans="1:7" x14ac:dyDescent="0.3">
      <c r="A549" s="182" t="s">
        <v>1081</v>
      </c>
      <c r="B549" s="177"/>
      <c r="G549" s="177"/>
    </row>
    <row r="550" spans="1:7" x14ac:dyDescent="0.3">
      <c r="A550" s="182" t="s">
        <v>1082</v>
      </c>
      <c r="B550" s="177"/>
      <c r="G550" s="177"/>
    </row>
    <row r="551" spans="1:7" x14ac:dyDescent="0.3">
      <c r="A551" s="182" t="s">
        <v>1083</v>
      </c>
      <c r="B551" s="177"/>
      <c r="G551" s="177"/>
    </row>
    <row r="552" spans="1:7" x14ac:dyDescent="0.3">
      <c r="A552" s="182" t="s">
        <v>1084</v>
      </c>
      <c r="B552" s="177"/>
      <c r="G552" s="177"/>
    </row>
    <row r="553" spans="1:7" x14ac:dyDescent="0.3">
      <c r="A553" s="182" t="s">
        <v>1085</v>
      </c>
      <c r="B553" s="177"/>
      <c r="G553" s="177"/>
    </row>
    <row r="554" spans="1:7" x14ac:dyDescent="0.3">
      <c r="A554" s="182" t="s">
        <v>1086</v>
      </c>
      <c r="B554" s="177"/>
      <c r="G554" s="177"/>
    </row>
    <row r="555" spans="1:7" x14ac:dyDescent="0.3">
      <c r="A555" s="182" t="s">
        <v>1087</v>
      </c>
      <c r="B555" s="177"/>
      <c r="G555" s="177"/>
    </row>
    <row r="556" spans="1:7" x14ac:dyDescent="0.3">
      <c r="A556" s="182" t="s">
        <v>1088</v>
      </c>
      <c r="B556" s="177"/>
      <c r="G556" s="177"/>
    </row>
    <row r="557" spans="1:7" x14ac:dyDescent="0.3">
      <c r="A557" s="182" t="s">
        <v>1089</v>
      </c>
      <c r="B557" s="177"/>
      <c r="G557" s="177"/>
    </row>
    <row r="558" spans="1:7" x14ac:dyDescent="0.3">
      <c r="A558" s="182" t="s">
        <v>1090</v>
      </c>
      <c r="B558" s="177"/>
      <c r="G558" s="177"/>
    </row>
    <row r="559" spans="1:7" x14ac:dyDescent="0.3">
      <c r="A559" s="182" t="s">
        <v>1091</v>
      </c>
      <c r="B559" s="177"/>
      <c r="G559" s="177"/>
    </row>
    <row r="560" spans="1:7" x14ac:dyDescent="0.3">
      <c r="A560" s="182" t="s">
        <v>1092</v>
      </c>
      <c r="B560" s="177"/>
      <c r="G560" s="177"/>
    </row>
    <row r="561" spans="1:7" x14ac:dyDescent="0.3">
      <c r="A561" s="182" t="s">
        <v>1093</v>
      </c>
      <c r="B561" s="177"/>
      <c r="G561" s="177"/>
    </row>
    <row r="562" spans="1:7" x14ac:dyDescent="0.3">
      <c r="A562" s="182" t="s">
        <v>1094</v>
      </c>
      <c r="B562" s="177"/>
      <c r="G562" s="177"/>
    </row>
    <row r="563" spans="1:7" x14ac:dyDescent="0.3">
      <c r="A563" s="182" t="s">
        <v>1095</v>
      </c>
      <c r="B563" s="177"/>
      <c r="G563" s="177"/>
    </row>
    <row r="564" spans="1:7" x14ac:dyDescent="0.3">
      <c r="A564" s="182" t="s">
        <v>1096</v>
      </c>
      <c r="B564" s="177"/>
      <c r="G564" s="177"/>
    </row>
    <row r="565" spans="1:7" x14ac:dyDescent="0.3">
      <c r="A565" s="182" t="s">
        <v>1097</v>
      </c>
      <c r="B565" s="177"/>
      <c r="G565" s="177"/>
    </row>
    <row r="566" spans="1:7" x14ac:dyDescent="0.3">
      <c r="A566" s="182" t="s">
        <v>1098</v>
      </c>
      <c r="B566" s="177"/>
      <c r="G566" s="177"/>
    </row>
    <row r="567" spans="1:7" x14ac:dyDescent="0.3">
      <c r="A567" s="182" t="s">
        <v>1099</v>
      </c>
      <c r="B567" s="177"/>
      <c r="G567" s="177"/>
    </row>
    <row r="568" spans="1:7" x14ac:dyDescent="0.3">
      <c r="A568" s="182" t="s">
        <v>1100</v>
      </c>
      <c r="B568" s="177"/>
      <c r="G568" s="177"/>
    </row>
    <row r="569" spans="1:7" x14ac:dyDescent="0.3">
      <c r="A569" s="182" t="s">
        <v>1101</v>
      </c>
      <c r="B569" s="177"/>
      <c r="G569" s="177"/>
    </row>
    <row r="570" spans="1:7" x14ac:dyDescent="0.3">
      <c r="A570" s="182" t="s">
        <v>1102</v>
      </c>
      <c r="B570" s="177"/>
      <c r="G570" s="177"/>
    </row>
    <row r="571" spans="1:7" x14ac:dyDescent="0.3">
      <c r="A571" s="182" t="s">
        <v>1103</v>
      </c>
      <c r="B571" s="177"/>
      <c r="G571" s="177"/>
    </row>
    <row r="572" spans="1:7" x14ac:dyDescent="0.3">
      <c r="A572" s="182" t="s">
        <v>1104</v>
      </c>
      <c r="B572" s="177"/>
      <c r="G572" s="177"/>
    </row>
    <row r="573" spans="1:7" x14ac:dyDescent="0.3">
      <c r="A573" s="182" t="s">
        <v>1105</v>
      </c>
      <c r="B573" s="177"/>
      <c r="G573" s="177"/>
    </row>
    <row r="574" spans="1:7" x14ac:dyDescent="0.3">
      <c r="A574" s="182" t="s">
        <v>1106</v>
      </c>
      <c r="B574" s="177"/>
      <c r="G574" s="177"/>
    </row>
    <row r="575" spans="1:7" x14ac:dyDescent="0.3">
      <c r="A575" s="182" t="s">
        <v>1107</v>
      </c>
      <c r="B575" s="177"/>
      <c r="G575" s="177"/>
    </row>
    <row r="576" spans="1:7" x14ac:dyDescent="0.3">
      <c r="A576" s="182" t="s">
        <v>1108</v>
      </c>
      <c r="B576" s="177"/>
      <c r="G576" s="177"/>
    </row>
    <row r="577" spans="1:7" x14ac:dyDescent="0.3">
      <c r="A577" s="182" t="s">
        <v>1109</v>
      </c>
      <c r="B577" s="177"/>
      <c r="G577" s="177"/>
    </row>
    <row r="578" spans="1:7" x14ac:dyDescent="0.3">
      <c r="A578" s="182" t="s">
        <v>1110</v>
      </c>
      <c r="B578" s="177"/>
      <c r="G578" s="177"/>
    </row>
    <row r="579" spans="1:7" x14ac:dyDescent="0.3">
      <c r="A579" s="182" t="s">
        <v>1111</v>
      </c>
      <c r="B579" s="177"/>
      <c r="G579" s="177"/>
    </row>
    <row r="580" spans="1:7" x14ac:dyDescent="0.3">
      <c r="A580" s="182" t="s">
        <v>1112</v>
      </c>
      <c r="B580" s="177"/>
      <c r="G580" s="177"/>
    </row>
    <row r="581" spans="1:7" x14ac:dyDescent="0.3">
      <c r="A581" s="182" t="s">
        <v>1113</v>
      </c>
      <c r="B581" s="177"/>
      <c r="G581" s="177"/>
    </row>
    <row r="582" spans="1:7" x14ac:dyDescent="0.3">
      <c r="A582" s="182" t="s">
        <v>1114</v>
      </c>
      <c r="B582" s="177"/>
      <c r="G582" s="177"/>
    </row>
    <row r="583" spans="1:7" x14ac:dyDescent="0.3">
      <c r="A583" s="182" t="s">
        <v>1115</v>
      </c>
      <c r="B583" s="177"/>
      <c r="G583" s="177"/>
    </row>
    <row r="584" spans="1:7" x14ac:dyDescent="0.3">
      <c r="A584" s="182" t="s">
        <v>1116</v>
      </c>
      <c r="B584" s="177"/>
      <c r="G584" s="177"/>
    </row>
    <row r="585" spans="1:7" x14ac:dyDescent="0.3">
      <c r="A585" s="182" t="s">
        <v>1117</v>
      </c>
      <c r="B585" s="177"/>
      <c r="G585" s="177"/>
    </row>
    <row r="586" spans="1:7" x14ac:dyDescent="0.3">
      <c r="A586" s="182" t="s">
        <v>1118</v>
      </c>
      <c r="B586" s="177"/>
      <c r="G586" s="177"/>
    </row>
    <row r="587" spans="1:7" x14ac:dyDescent="0.3">
      <c r="A587" s="182" t="s">
        <v>1119</v>
      </c>
      <c r="B587" s="177"/>
      <c r="G587" s="177"/>
    </row>
    <row r="588" spans="1:7" x14ac:dyDescent="0.3">
      <c r="A588" s="182" t="s">
        <v>1120</v>
      </c>
      <c r="B588" s="177"/>
      <c r="G588" s="177"/>
    </row>
    <row r="589" spans="1:7" x14ac:dyDescent="0.3">
      <c r="A589" s="182" t="s">
        <v>1121</v>
      </c>
      <c r="B589" s="177"/>
      <c r="G589" s="177"/>
    </row>
    <row r="590" spans="1:7" x14ac:dyDescent="0.3">
      <c r="A590" s="182" t="s">
        <v>1122</v>
      </c>
      <c r="B590" s="177"/>
      <c r="G590" s="177"/>
    </row>
    <row r="591" spans="1:7" x14ac:dyDescent="0.3">
      <c r="A591" s="182" t="s">
        <v>1123</v>
      </c>
      <c r="B591" s="177"/>
      <c r="G591" s="177"/>
    </row>
    <row r="592" spans="1:7" x14ac:dyDescent="0.3">
      <c r="A592" s="182" t="s">
        <v>1124</v>
      </c>
      <c r="B592" s="177"/>
      <c r="G592" s="177"/>
    </row>
    <row r="593" spans="1:7" x14ac:dyDescent="0.3">
      <c r="A593" s="197" t="s">
        <v>1125</v>
      </c>
      <c r="B593" s="177"/>
      <c r="G593" s="177"/>
    </row>
    <row r="594" spans="1:7" x14ac:dyDescent="0.3">
      <c r="A594" s="182" t="s">
        <v>1126</v>
      </c>
      <c r="B594" s="177"/>
      <c r="G594" s="177"/>
    </row>
    <row r="595" spans="1:7" x14ac:dyDescent="0.3">
      <c r="A595" s="182" t="s">
        <v>1127</v>
      </c>
      <c r="B595" s="177"/>
      <c r="G595" s="177"/>
    </row>
    <row r="596" spans="1:7" x14ac:dyDescent="0.3">
      <c r="A596" s="182" t="s">
        <v>1128</v>
      </c>
      <c r="B596" s="177"/>
      <c r="G596" s="177"/>
    </row>
    <row r="597" spans="1:7" x14ac:dyDescent="0.3">
      <c r="A597" s="182" t="s">
        <v>1129</v>
      </c>
      <c r="B597" s="177"/>
      <c r="G597" s="177"/>
    </row>
    <row r="598" spans="1:7" x14ac:dyDescent="0.3">
      <c r="A598" s="182" t="s">
        <v>1130</v>
      </c>
      <c r="B598" s="177"/>
      <c r="G598" s="177"/>
    </row>
    <row r="599" spans="1:7" x14ac:dyDescent="0.3">
      <c r="A599" s="182" t="s">
        <v>1131</v>
      </c>
      <c r="B599" s="177"/>
      <c r="G599" s="177"/>
    </row>
    <row r="600" spans="1:7" x14ac:dyDescent="0.3">
      <c r="A600" s="182" t="s">
        <v>1132</v>
      </c>
      <c r="B600" s="177"/>
      <c r="G600" s="177"/>
    </row>
    <row r="601" spans="1:7" x14ac:dyDescent="0.3">
      <c r="A601" s="182" t="s">
        <v>1133</v>
      </c>
      <c r="B601" s="177"/>
      <c r="G601" s="177"/>
    </row>
    <row r="602" spans="1:7" x14ac:dyDescent="0.3">
      <c r="A602" s="182" t="s">
        <v>1134</v>
      </c>
      <c r="B602" s="177"/>
      <c r="G602" s="177"/>
    </row>
    <row r="603" spans="1:7" x14ac:dyDescent="0.3">
      <c r="A603" s="182" t="s">
        <v>1135</v>
      </c>
      <c r="B603" s="177"/>
      <c r="G603" s="177"/>
    </row>
    <row r="604" spans="1:7" x14ac:dyDescent="0.3">
      <c r="A604" s="182" t="s">
        <v>1136</v>
      </c>
      <c r="B604" s="177"/>
      <c r="G604" s="177"/>
    </row>
    <row r="605" spans="1:7" x14ac:dyDescent="0.3">
      <c r="A605" s="182" t="s">
        <v>1137</v>
      </c>
      <c r="B605" s="177"/>
      <c r="G605" s="177"/>
    </row>
    <row r="606" spans="1:7" x14ac:dyDescent="0.3">
      <c r="A606" s="182" t="s">
        <v>1138</v>
      </c>
      <c r="B606" s="177"/>
      <c r="G606" s="177"/>
    </row>
    <row r="607" spans="1:7" x14ac:dyDescent="0.3">
      <c r="A607" s="182" t="s">
        <v>1139</v>
      </c>
      <c r="B607" s="177"/>
      <c r="G607" s="177"/>
    </row>
    <row r="608" spans="1:7" x14ac:dyDescent="0.3">
      <c r="A608" s="182" t="s">
        <v>1140</v>
      </c>
      <c r="B608" s="177"/>
      <c r="G608" s="177"/>
    </row>
    <row r="609" spans="1:7" x14ac:dyDescent="0.3">
      <c r="A609" s="182" t="s">
        <v>1141</v>
      </c>
      <c r="B609" s="177"/>
      <c r="G609" s="177"/>
    </row>
    <row r="610" spans="1:7" x14ac:dyDescent="0.3">
      <c r="A610" s="182" t="s">
        <v>1142</v>
      </c>
      <c r="B610" s="177"/>
      <c r="G610" s="177"/>
    </row>
    <row r="611" spans="1:7" x14ac:dyDescent="0.3">
      <c r="A611" s="182" t="s">
        <v>1143</v>
      </c>
      <c r="B611" s="177"/>
      <c r="G611" s="177"/>
    </row>
    <row r="612" spans="1:7" x14ac:dyDescent="0.3">
      <c r="A612" s="182" t="s">
        <v>1144</v>
      </c>
      <c r="B612" s="177"/>
      <c r="G612" s="177"/>
    </row>
    <row r="613" spans="1:7" x14ac:dyDescent="0.3">
      <c r="A613" s="182" t="s">
        <v>1145</v>
      </c>
      <c r="B613" s="177"/>
      <c r="G613" s="177"/>
    </row>
    <row r="614" spans="1:7" x14ac:dyDescent="0.3">
      <c r="A614" s="182" t="s">
        <v>1146</v>
      </c>
      <c r="B614" s="177"/>
      <c r="G614" s="177"/>
    </row>
    <row r="615" spans="1:7" x14ac:dyDescent="0.3">
      <c r="A615" s="182" t="s">
        <v>1147</v>
      </c>
      <c r="B615" s="177"/>
      <c r="G615" s="177"/>
    </row>
    <row r="616" spans="1:7" x14ac:dyDescent="0.3">
      <c r="A616" s="182" t="s">
        <v>1148</v>
      </c>
      <c r="B616" s="177"/>
      <c r="G616" s="177"/>
    </row>
    <row r="617" spans="1:7" x14ac:dyDescent="0.3">
      <c r="A617" s="182" t="s">
        <v>1149</v>
      </c>
      <c r="B617" s="177"/>
      <c r="G617" s="177"/>
    </row>
    <row r="618" spans="1:7" x14ac:dyDescent="0.3">
      <c r="A618" s="182" t="s">
        <v>1150</v>
      </c>
      <c r="B618" s="177"/>
      <c r="G618" s="177"/>
    </row>
    <row r="619" spans="1:7" x14ac:dyDescent="0.3">
      <c r="A619" s="182" t="s">
        <v>1151</v>
      </c>
      <c r="B619" s="177"/>
      <c r="G619" s="177"/>
    </row>
    <row r="620" spans="1:7" x14ac:dyDescent="0.3">
      <c r="A620" s="182" t="s">
        <v>1152</v>
      </c>
      <c r="B620" s="177"/>
      <c r="G620" s="177"/>
    </row>
    <row r="621" spans="1:7" x14ac:dyDescent="0.3">
      <c r="A621" s="182" t="s">
        <v>1153</v>
      </c>
      <c r="B621" s="177"/>
      <c r="G621" s="177"/>
    </row>
    <row r="622" spans="1:7" x14ac:dyDescent="0.3">
      <c r="A622" s="182" t="s">
        <v>1154</v>
      </c>
      <c r="B622" s="177"/>
      <c r="G622" s="177"/>
    </row>
    <row r="623" spans="1:7" x14ac:dyDescent="0.3">
      <c r="A623" s="182" t="s">
        <v>1155</v>
      </c>
      <c r="B623" s="177"/>
      <c r="G623" s="177"/>
    </row>
    <row r="624" spans="1:7" x14ac:dyDescent="0.3">
      <c r="A624" s="182" t="s">
        <v>1156</v>
      </c>
      <c r="B624" s="177"/>
      <c r="G624" s="177"/>
    </row>
    <row r="625" spans="1:7" x14ac:dyDescent="0.3">
      <c r="A625" s="182" t="s">
        <v>1157</v>
      </c>
      <c r="B625" s="177"/>
      <c r="G625" s="177"/>
    </row>
    <row r="626" spans="1:7" x14ac:dyDescent="0.3">
      <c r="A626" s="182" t="s">
        <v>1158</v>
      </c>
      <c r="B626" s="177"/>
      <c r="G626" s="177"/>
    </row>
    <row r="627" spans="1:7" x14ac:dyDescent="0.3">
      <c r="A627" s="182" t="s">
        <v>1159</v>
      </c>
      <c r="B627" s="177"/>
      <c r="G627" s="177"/>
    </row>
    <row r="628" spans="1:7" x14ac:dyDescent="0.3">
      <c r="A628" s="182" t="s">
        <v>1160</v>
      </c>
      <c r="B628" s="177"/>
      <c r="G628" s="177"/>
    </row>
    <row r="629" spans="1:7" x14ac:dyDescent="0.3">
      <c r="A629" s="182" t="s">
        <v>1161</v>
      </c>
      <c r="B629" s="177"/>
      <c r="G629" s="177"/>
    </row>
    <row r="630" spans="1:7" x14ac:dyDescent="0.3">
      <c r="A630" s="182" t="s">
        <v>1162</v>
      </c>
      <c r="B630" s="177"/>
      <c r="G630" s="177"/>
    </row>
    <row r="631" spans="1:7" x14ac:dyDescent="0.3">
      <c r="A631" s="182" t="s">
        <v>1163</v>
      </c>
      <c r="B631" s="177"/>
      <c r="G631" s="177"/>
    </row>
    <row r="632" spans="1:7" x14ac:dyDescent="0.3">
      <c r="A632" s="182" t="s">
        <v>1164</v>
      </c>
      <c r="B632" s="177"/>
      <c r="G632" s="177"/>
    </row>
    <row r="633" spans="1:7" x14ac:dyDescent="0.3">
      <c r="A633" s="182" t="s">
        <v>1165</v>
      </c>
      <c r="B633" s="177"/>
      <c r="G633" s="177"/>
    </row>
    <row r="634" spans="1:7" x14ac:dyDescent="0.3">
      <c r="A634" s="182" t="s">
        <v>1166</v>
      </c>
      <c r="B634" s="177"/>
      <c r="G634" s="177"/>
    </row>
    <row r="635" spans="1:7" x14ac:dyDescent="0.3">
      <c r="A635" s="182" t="s">
        <v>1167</v>
      </c>
      <c r="B635" s="177"/>
      <c r="G635" s="177"/>
    </row>
    <row r="636" spans="1:7" x14ac:dyDescent="0.3">
      <c r="A636" s="182" t="s">
        <v>1168</v>
      </c>
      <c r="B636" s="177"/>
      <c r="G636" s="177"/>
    </row>
    <row r="637" spans="1:7" x14ac:dyDescent="0.3">
      <c r="A637" s="182" t="s">
        <v>1169</v>
      </c>
      <c r="B637" s="177"/>
      <c r="G637" s="177"/>
    </row>
    <row r="638" spans="1:7" x14ac:dyDescent="0.3">
      <c r="A638" s="182" t="s">
        <v>1170</v>
      </c>
      <c r="B638" s="177"/>
      <c r="G638" s="177"/>
    </row>
    <row r="639" spans="1:7" x14ac:dyDescent="0.3">
      <c r="A639" s="182" t="s">
        <v>1171</v>
      </c>
      <c r="B639" s="177"/>
      <c r="G639" s="177"/>
    </row>
    <row r="640" spans="1:7" x14ac:dyDescent="0.3">
      <c r="A640" s="182" t="s">
        <v>1172</v>
      </c>
      <c r="B640" s="177"/>
      <c r="G640" s="177"/>
    </row>
    <row r="641" spans="1:7" x14ac:dyDescent="0.3">
      <c r="A641" s="182" t="s">
        <v>1173</v>
      </c>
      <c r="B641" s="177"/>
      <c r="G641" s="177"/>
    </row>
    <row r="642" spans="1:7" x14ac:dyDescent="0.3">
      <c r="A642" s="182" t="s">
        <v>1174</v>
      </c>
      <c r="B642" s="177"/>
      <c r="G642" s="177"/>
    </row>
    <row r="643" spans="1:7" x14ac:dyDescent="0.3">
      <c r="A643" s="182" t="s">
        <v>1175</v>
      </c>
      <c r="B643" s="177"/>
      <c r="G643" s="177"/>
    </row>
    <row r="644" spans="1:7" x14ac:dyDescent="0.3">
      <c r="A644" s="182" t="s">
        <v>1176</v>
      </c>
      <c r="B644" s="177"/>
      <c r="G644" s="177"/>
    </row>
    <row r="645" spans="1:7" x14ac:dyDescent="0.3">
      <c r="A645" s="182" t="s">
        <v>1177</v>
      </c>
      <c r="B645" s="177"/>
      <c r="G645" s="177"/>
    </row>
    <row r="646" spans="1:7" x14ac:dyDescent="0.3">
      <c r="A646" s="182" t="s">
        <v>1178</v>
      </c>
      <c r="B646" s="177"/>
      <c r="G646" s="177"/>
    </row>
    <row r="647" spans="1:7" x14ac:dyDescent="0.3">
      <c r="A647" s="182" t="s">
        <v>1179</v>
      </c>
      <c r="B647" s="177"/>
      <c r="G647" s="177"/>
    </row>
    <row r="648" spans="1:7" x14ac:dyDescent="0.3">
      <c r="A648" s="182" t="s">
        <v>1180</v>
      </c>
      <c r="B648" s="177"/>
      <c r="G648" s="177"/>
    </row>
    <row r="649" spans="1:7" x14ac:dyDescent="0.3">
      <c r="A649" s="182" t="s">
        <v>1181</v>
      </c>
      <c r="B649" s="177"/>
      <c r="G649" s="177"/>
    </row>
    <row r="650" spans="1:7" x14ac:dyDescent="0.3">
      <c r="A650" s="182" t="s">
        <v>1182</v>
      </c>
      <c r="B650" s="177"/>
      <c r="G650" s="177"/>
    </row>
    <row r="651" spans="1:7" x14ac:dyDescent="0.3">
      <c r="A651" s="182" t="s">
        <v>1183</v>
      </c>
      <c r="B651" s="177"/>
      <c r="G651" s="177"/>
    </row>
    <row r="652" spans="1:7" x14ac:dyDescent="0.3">
      <c r="A652" s="182" t="s">
        <v>1184</v>
      </c>
      <c r="B652" s="177"/>
      <c r="G652" s="177"/>
    </row>
    <row r="653" spans="1:7" x14ac:dyDescent="0.3">
      <c r="A653" s="182" t="s">
        <v>1185</v>
      </c>
      <c r="B653" s="177"/>
      <c r="G653" s="177"/>
    </row>
    <row r="654" spans="1:7" x14ac:dyDescent="0.3">
      <c r="A654" s="182" t="s">
        <v>1186</v>
      </c>
      <c r="B654" s="177"/>
      <c r="G654" s="177"/>
    </row>
    <row r="655" spans="1:7" x14ac:dyDescent="0.3">
      <c r="A655" s="182" t="s">
        <v>1187</v>
      </c>
      <c r="B655" s="177"/>
      <c r="G655" s="177"/>
    </row>
    <row r="656" spans="1:7" x14ac:dyDescent="0.3">
      <c r="A656" s="182" t="s">
        <v>1188</v>
      </c>
      <c r="B656" s="177"/>
      <c r="G656" s="177"/>
    </row>
    <row r="657" spans="1:7" x14ac:dyDescent="0.3">
      <c r="A657" s="182" t="s">
        <v>1189</v>
      </c>
      <c r="B657" s="177"/>
      <c r="G657" s="177"/>
    </row>
    <row r="658" spans="1:7" x14ac:dyDescent="0.3">
      <c r="A658" s="182" t="s">
        <v>1190</v>
      </c>
      <c r="B658" s="177"/>
      <c r="G658" s="177"/>
    </row>
    <row r="659" spans="1:7" x14ac:dyDescent="0.3">
      <c r="A659" s="182" t="s">
        <v>1191</v>
      </c>
      <c r="B659" s="177"/>
      <c r="G659" s="177"/>
    </row>
    <row r="660" spans="1:7" x14ac:dyDescent="0.3">
      <c r="A660" s="182" t="s">
        <v>1192</v>
      </c>
      <c r="B660" s="177"/>
      <c r="G660" s="177"/>
    </row>
    <row r="661" spans="1:7" x14ac:dyDescent="0.3">
      <c r="A661" s="182" t="s">
        <v>1193</v>
      </c>
      <c r="B661" s="177"/>
      <c r="G661" s="177"/>
    </row>
    <row r="662" spans="1:7" x14ac:dyDescent="0.3">
      <c r="A662" s="182" t="s">
        <v>1194</v>
      </c>
      <c r="B662" s="177"/>
      <c r="G662" s="177"/>
    </row>
    <row r="663" spans="1:7" x14ac:dyDescent="0.3">
      <c r="A663" s="182" t="s">
        <v>1195</v>
      </c>
      <c r="B663" s="177"/>
      <c r="G663" s="177"/>
    </row>
    <row r="664" spans="1:7" x14ac:dyDescent="0.3">
      <c r="A664" s="182" t="s">
        <v>1196</v>
      </c>
      <c r="B664" s="177"/>
      <c r="G664" s="177"/>
    </row>
    <row r="665" spans="1:7" x14ac:dyDescent="0.3">
      <c r="A665" s="182" t="s">
        <v>1197</v>
      </c>
      <c r="B665" s="177"/>
      <c r="G665" s="177"/>
    </row>
    <row r="666" spans="1:7" x14ac:dyDescent="0.3">
      <c r="A666" s="182" t="s">
        <v>1198</v>
      </c>
      <c r="B666" s="177"/>
      <c r="G666" s="177"/>
    </row>
    <row r="667" spans="1:7" x14ac:dyDescent="0.3">
      <c r="A667" s="182" t="s">
        <v>1199</v>
      </c>
      <c r="B667" s="177"/>
      <c r="G667" s="177"/>
    </row>
    <row r="668" spans="1:7" x14ac:dyDescent="0.3">
      <c r="A668" s="182" t="s">
        <v>1200</v>
      </c>
      <c r="B668" s="177"/>
      <c r="G668" s="177"/>
    </row>
    <row r="669" spans="1:7" x14ac:dyDescent="0.3">
      <c r="A669" s="182" t="s">
        <v>1201</v>
      </c>
      <c r="B669" s="177"/>
      <c r="G669" s="177"/>
    </row>
    <row r="670" spans="1:7" x14ac:dyDescent="0.3">
      <c r="A670" s="182" t="s">
        <v>1202</v>
      </c>
      <c r="B670" s="177"/>
      <c r="G670" s="177"/>
    </row>
    <row r="671" spans="1:7" x14ac:dyDescent="0.3">
      <c r="A671" s="182" t="s">
        <v>1203</v>
      </c>
      <c r="B671" s="177"/>
      <c r="G671" s="177"/>
    </row>
    <row r="672" spans="1:7" x14ac:dyDescent="0.3">
      <c r="A672" s="182" t="s">
        <v>1204</v>
      </c>
      <c r="B672" s="177"/>
      <c r="G672" s="177"/>
    </row>
    <row r="673" spans="1:7" x14ac:dyDescent="0.3">
      <c r="A673" s="182" t="s">
        <v>1205</v>
      </c>
      <c r="B673" s="177"/>
      <c r="G673" s="177"/>
    </row>
    <row r="674" spans="1:7" x14ac:dyDescent="0.3">
      <c r="A674" s="182" t="s">
        <v>1206</v>
      </c>
      <c r="B674" s="177"/>
      <c r="G674" s="177"/>
    </row>
    <row r="675" spans="1:7" x14ac:dyDescent="0.3">
      <c r="A675" s="182" t="s">
        <v>1207</v>
      </c>
      <c r="B675" s="177"/>
      <c r="G675" s="177"/>
    </row>
    <row r="676" spans="1:7" x14ac:dyDescent="0.3">
      <c r="A676" s="182" t="s">
        <v>1208</v>
      </c>
      <c r="B676" s="177"/>
      <c r="G676" s="177"/>
    </row>
    <row r="677" spans="1:7" x14ac:dyDescent="0.3">
      <c r="A677" s="182" t="s">
        <v>1209</v>
      </c>
      <c r="B677" s="177"/>
      <c r="G677" s="177"/>
    </row>
    <row r="678" spans="1:7" x14ac:dyDescent="0.3">
      <c r="A678" s="182" t="s">
        <v>1210</v>
      </c>
      <c r="B678" s="177"/>
      <c r="G678" s="177"/>
    </row>
    <row r="679" spans="1:7" x14ac:dyDescent="0.3">
      <c r="A679" s="182" t="s">
        <v>1211</v>
      </c>
      <c r="B679" s="177"/>
      <c r="G679" s="177"/>
    </row>
    <row r="680" spans="1:7" x14ac:dyDescent="0.3">
      <c r="A680" s="182" t="s">
        <v>1212</v>
      </c>
      <c r="B680" s="177"/>
      <c r="G680" s="177"/>
    </row>
    <row r="681" spans="1:7" x14ac:dyDescent="0.3">
      <c r="A681" s="182" t="s">
        <v>1213</v>
      </c>
      <c r="B681" s="177"/>
      <c r="G681" s="177"/>
    </row>
    <row r="682" spans="1:7" x14ac:dyDescent="0.3">
      <c r="A682" s="182" t="s">
        <v>1214</v>
      </c>
      <c r="B682" s="177"/>
      <c r="G682" s="177"/>
    </row>
    <row r="683" spans="1:7" x14ac:dyDescent="0.3">
      <c r="A683" s="182" t="s">
        <v>1215</v>
      </c>
      <c r="B683" s="177"/>
      <c r="G683" s="177"/>
    </row>
    <row r="684" spans="1:7" x14ac:dyDescent="0.3">
      <c r="A684" s="182" t="s">
        <v>1216</v>
      </c>
      <c r="B684" s="177"/>
      <c r="G684" s="177"/>
    </row>
    <row r="685" spans="1:7" x14ac:dyDescent="0.3">
      <c r="A685" s="182" t="s">
        <v>1217</v>
      </c>
      <c r="B685" s="177"/>
      <c r="G685" s="177"/>
    </row>
    <row r="686" spans="1:7" x14ac:dyDescent="0.3">
      <c r="A686" s="182" t="s">
        <v>1218</v>
      </c>
      <c r="B686" s="177"/>
      <c r="G686" s="177"/>
    </row>
    <row r="687" spans="1:7" x14ac:dyDescent="0.3">
      <c r="A687" s="182" t="s">
        <v>1219</v>
      </c>
      <c r="B687" s="177"/>
      <c r="G687" s="177"/>
    </row>
    <row r="688" spans="1:7" x14ac:dyDescent="0.3">
      <c r="A688" s="182" t="s">
        <v>1220</v>
      </c>
      <c r="B688" s="177"/>
      <c r="G688" s="177"/>
    </row>
    <row r="689" spans="1:7" x14ac:dyDescent="0.3">
      <c r="A689" s="182" t="s">
        <v>1221</v>
      </c>
      <c r="B689" s="177"/>
      <c r="G689" s="177"/>
    </row>
    <row r="690" spans="1:7" x14ac:dyDescent="0.3">
      <c r="A690" s="182" t="s">
        <v>1222</v>
      </c>
      <c r="B690" s="177"/>
      <c r="G690" s="177"/>
    </row>
    <row r="691" spans="1:7" x14ac:dyDescent="0.3">
      <c r="A691" s="182" t="s">
        <v>1223</v>
      </c>
      <c r="B691" s="177"/>
      <c r="G691" s="177"/>
    </row>
    <row r="692" spans="1:7" x14ac:dyDescent="0.3">
      <c r="A692" s="182" t="s">
        <v>1224</v>
      </c>
      <c r="B692" s="177"/>
      <c r="G692" s="177"/>
    </row>
    <row r="693" spans="1:7" x14ac:dyDescent="0.3">
      <c r="A693" s="182" t="s">
        <v>1225</v>
      </c>
      <c r="B693" s="177"/>
      <c r="G693" s="177"/>
    </row>
    <row r="694" spans="1:7" x14ac:dyDescent="0.3">
      <c r="A694" s="182" t="s">
        <v>1226</v>
      </c>
      <c r="B694" s="177"/>
      <c r="G694" s="177"/>
    </row>
    <row r="695" spans="1:7" x14ac:dyDescent="0.3">
      <c r="A695" s="182" t="s">
        <v>1227</v>
      </c>
      <c r="B695" s="177"/>
      <c r="G695" s="177"/>
    </row>
    <row r="696" spans="1:7" x14ac:dyDescent="0.3">
      <c r="A696" s="182" t="s">
        <v>1228</v>
      </c>
      <c r="B696" s="177"/>
      <c r="G696" s="177"/>
    </row>
    <row r="697" spans="1:7" x14ac:dyDescent="0.3">
      <c r="A697" s="182" t="s">
        <v>1229</v>
      </c>
      <c r="B697" s="177"/>
      <c r="G697" s="177"/>
    </row>
    <row r="698" spans="1:7" x14ac:dyDescent="0.3">
      <c r="A698" s="182" t="s">
        <v>1230</v>
      </c>
      <c r="B698" s="177"/>
      <c r="G698" s="177"/>
    </row>
    <row r="699" spans="1:7" x14ac:dyDescent="0.3">
      <c r="A699" s="182" t="s">
        <v>1231</v>
      </c>
      <c r="B699" s="177"/>
      <c r="G699" s="177"/>
    </row>
    <row r="700" spans="1:7" x14ac:dyDescent="0.3">
      <c r="A700" s="182" t="s">
        <v>1232</v>
      </c>
      <c r="B700" s="177"/>
      <c r="G700" s="177"/>
    </row>
    <row r="701" spans="1:7" x14ac:dyDescent="0.3">
      <c r="A701" s="182" t="s">
        <v>1233</v>
      </c>
      <c r="B701" s="177"/>
      <c r="G701" s="177"/>
    </row>
    <row r="702" spans="1:7" x14ac:dyDescent="0.3">
      <c r="A702" s="182" t="s">
        <v>1234</v>
      </c>
      <c r="B702" s="177"/>
      <c r="G702" s="177"/>
    </row>
    <row r="703" spans="1:7" x14ac:dyDescent="0.3">
      <c r="A703" s="182" t="s">
        <v>1235</v>
      </c>
      <c r="B703" s="177"/>
      <c r="G703" s="177"/>
    </row>
    <row r="704" spans="1:7" x14ac:dyDescent="0.3">
      <c r="A704" s="182" t="s">
        <v>1236</v>
      </c>
      <c r="B704" s="177"/>
      <c r="G704" s="177"/>
    </row>
    <row r="705" spans="1:7" x14ac:dyDescent="0.3">
      <c r="A705" s="182" t="s">
        <v>1237</v>
      </c>
      <c r="B705" s="177"/>
      <c r="G705" s="177"/>
    </row>
    <row r="706" spans="1:7" x14ac:dyDescent="0.3">
      <c r="A706" s="182" t="s">
        <v>1238</v>
      </c>
      <c r="B706" s="177"/>
      <c r="G706" s="177"/>
    </row>
    <row r="707" spans="1:7" x14ac:dyDescent="0.3">
      <c r="A707" s="182" t="s">
        <v>1239</v>
      </c>
      <c r="B707" s="177"/>
      <c r="G707" s="177"/>
    </row>
    <row r="708" spans="1:7" x14ac:dyDescent="0.3">
      <c r="A708" s="182" t="s">
        <v>1240</v>
      </c>
      <c r="B708" s="177"/>
      <c r="G708" s="177"/>
    </row>
    <row r="709" spans="1:7" x14ac:dyDescent="0.3">
      <c r="A709" s="182" t="s">
        <v>1241</v>
      </c>
      <c r="B709" s="177"/>
      <c r="G709" s="177"/>
    </row>
    <row r="710" spans="1:7" x14ac:dyDescent="0.3">
      <c r="A710" s="182" t="s">
        <v>1242</v>
      </c>
      <c r="B710" s="177"/>
      <c r="G710" s="177"/>
    </row>
    <row r="711" spans="1:7" x14ac:dyDescent="0.3">
      <c r="A711" s="182" t="s">
        <v>1243</v>
      </c>
      <c r="B711" s="177"/>
      <c r="G711" s="177"/>
    </row>
    <row r="712" spans="1:7" x14ac:dyDescent="0.3">
      <c r="A712" s="182" t="s">
        <v>1244</v>
      </c>
      <c r="B712" s="177"/>
      <c r="G712" s="177"/>
    </row>
    <row r="713" spans="1:7" x14ac:dyDescent="0.3">
      <c r="A713" s="182" t="s">
        <v>1245</v>
      </c>
      <c r="B713" s="177"/>
      <c r="G713" s="177"/>
    </row>
    <row r="714" spans="1:7" x14ac:dyDescent="0.3">
      <c r="A714" s="182" t="s">
        <v>1246</v>
      </c>
      <c r="B714" s="177"/>
      <c r="G714" s="177"/>
    </row>
    <row r="715" spans="1:7" x14ac:dyDescent="0.3">
      <c r="A715" s="182" t="s">
        <v>1247</v>
      </c>
      <c r="B715" s="177"/>
      <c r="G715" s="177"/>
    </row>
    <row r="716" spans="1:7" x14ac:dyDescent="0.3">
      <c r="A716" s="182" t="s">
        <v>1248</v>
      </c>
      <c r="B716" s="177"/>
      <c r="G716" s="177"/>
    </row>
    <row r="717" spans="1:7" x14ac:dyDescent="0.3">
      <c r="A717" s="182" t="s">
        <v>1249</v>
      </c>
      <c r="B717" s="177"/>
      <c r="G717" s="177"/>
    </row>
    <row r="718" spans="1:7" x14ac:dyDescent="0.3">
      <c r="A718" s="182" t="s">
        <v>1250</v>
      </c>
      <c r="B718" s="177"/>
      <c r="G718" s="177"/>
    </row>
    <row r="719" spans="1:7" x14ac:dyDescent="0.3">
      <c r="A719" s="182" t="s">
        <v>1251</v>
      </c>
      <c r="B719" s="177"/>
      <c r="G719" s="177"/>
    </row>
    <row r="720" spans="1:7" x14ac:dyDescent="0.3">
      <c r="A720" s="182" t="s">
        <v>1252</v>
      </c>
      <c r="B720" s="177"/>
      <c r="G720" s="177"/>
    </row>
    <row r="721" spans="1:7" x14ac:dyDescent="0.3">
      <c r="A721" s="182" t="s">
        <v>1253</v>
      </c>
      <c r="B721" s="177"/>
      <c r="G721" s="177"/>
    </row>
    <row r="722" spans="1:7" x14ac:dyDescent="0.3">
      <c r="A722" s="182" t="s">
        <v>1254</v>
      </c>
      <c r="B722" s="177"/>
      <c r="G722" s="177"/>
    </row>
    <row r="723" spans="1:7" x14ac:dyDescent="0.3">
      <c r="A723" s="182" t="s">
        <v>1255</v>
      </c>
      <c r="B723" s="177"/>
      <c r="G723" s="177"/>
    </row>
    <row r="724" spans="1:7" x14ac:dyDescent="0.3">
      <c r="A724" s="182" t="s">
        <v>1256</v>
      </c>
      <c r="B724" s="177"/>
      <c r="G724" s="177"/>
    </row>
    <row r="725" spans="1:7" x14ac:dyDescent="0.3">
      <c r="A725" s="182" t="s">
        <v>1257</v>
      </c>
      <c r="B725" s="177"/>
      <c r="G725" s="177"/>
    </row>
    <row r="726" spans="1:7" x14ac:dyDescent="0.3">
      <c r="A726" s="182" t="s">
        <v>1258</v>
      </c>
      <c r="B726" s="177"/>
      <c r="G726" s="177"/>
    </row>
    <row r="727" spans="1:7" x14ac:dyDescent="0.3">
      <c r="A727" s="182" t="s">
        <v>1259</v>
      </c>
      <c r="B727" s="177"/>
      <c r="G727" s="177"/>
    </row>
    <row r="728" spans="1:7" x14ac:dyDescent="0.3">
      <c r="A728" s="182" t="s">
        <v>1260</v>
      </c>
      <c r="B728" s="177"/>
      <c r="G728" s="177"/>
    </row>
    <row r="729" spans="1:7" x14ac:dyDescent="0.3">
      <c r="A729" s="182" t="s">
        <v>1261</v>
      </c>
      <c r="B729" s="177"/>
      <c r="G729" s="177"/>
    </row>
    <row r="730" spans="1:7" x14ac:dyDescent="0.3">
      <c r="A730" s="182" t="s">
        <v>1262</v>
      </c>
      <c r="B730" s="177"/>
      <c r="G730" s="177"/>
    </row>
    <row r="731" spans="1:7" x14ac:dyDescent="0.3">
      <c r="A731" s="182" t="s">
        <v>1263</v>
      </c>
      <c r="B731" s="177"/>
      <c r="G731" s="177"/>
    </row>
    <row r="732" spans="1:7" x14ac:dyDescent="0.3">
      <c r="A732" s="182" t="s">
        <v>1264</v>
      </c>
      <c r="B732" s="177"/>
      <c r="G732" s="177"/>
    </row>
    <row r="733" spans="1:7" x14ac:dyDescent="0.3">
      <c r="A733" s="182" t="s">
        <v>1265</v>
      </c>
      <c r="B733" s="177"/>
      <c r="G733" s="177"/>
    </row>
    <row r="734" spans="1:7" x14ac:dyDescent="0.3">
      <c r="A734" s="182" t="s">
        <v>1266</v>
      </c>
      <c r="B734" s="177"/>
      <c r="G734" s="177"/>
    </row>
    <row r="735" spans="1:7" x14ac:dyDescent="0.3">
      <c r="A735" s="182" t="s">
        <v>1267</v>
      </c>
      <c r="B735" s="177"/>
      <c r="G735" s="177"/>
    </row>
    <row r="736" spans="1:7" x14ac:dyDescent="0.3">
      <c r="A736" s="182" t="s">
        <v>1268</v>
      </c>
      <c r="B736" s="177"/>
      <c r="G736" s="177"/>
    </row>
    <row r="737" spans="1:7" x14ac:dyDescent="0.3">
      <c r="A737" s="182" t="s">
        <v>1269</v>
      </c>
      <c r="B737" s="177"/>
      <c r="G737" s="177"/>
    </row>
    <row r="738" spans="1:7" x14ac:dyDescent="0.3">
      <c r="A738" s="182" t="s">
        <v>1270</v>
      </c>
      <c r="B738" s="177"/>
      <c r="G738" s="177"/>
    </row>
    <row r="739" spans="1:7" x14ac:dyDescent="0.3">
      <c r="A739" s="182" t="s">
        <v>1271</v>
      </c>
      <c r="B739" s="177"/>
      <c r="G739" s="177"/>
    </row>
    <row r="740" spans="1:7" x14ac:dyDescent="0.3">
      <c r="A740" s="182" t="s">
        <v>1272</v>
      </c>
      <c r="B740" s="177"/>
      <c r="G740" s="177"/>
    </row>
    <row r="741" spans="1:7" x14ac:dyDescent="0.3">
      <c r="A741" s="182" t="s">
        <v>1273</v>
      </c>
      <c r="B741" s="177"/>
      <c r="G741" s="177"/>
    </row>
    <row r="742" spans="1:7" x14ac:dyDescent="0.3">
      <c r="A742" s="182" t="s">
        <v>1274</v>
      </c>
      <c r="B742" s="177"/>
      <c r="G742" s="177"/>
    </row>
    <row r="743" spans="1:7" x14ac:dyDescent="0.3">
      <c r="A743" s="182" t="s">
        <v>1275</v>
      </c>
      <c r="B743" s="177"/>
      <c r="G743" s="177"/>
    </row>
    <row r="744" spans="1:7" x14ac:dyDescent="0.3">
      <c r="A744" s="182" t="s">
        <v>1276</v>
      </c>
      <c r="B744" s="177"/>
      <c r="G744" s="177"/>
    </row>
    <row r="745" spans="1:7" x14ac:dyDescent="0.3">
      <c r="A745" s="182" t="s">
        <v>1277</v>
      </c>
      <c r="B745" s="177"/>
      <c r="G745" s="177"/>
    </row>
    <row r="746" spans="1:7" x14ac:dyDescent="0.3">
      <c r="A746" s="182" t="s">
        <v>1278</v>
      </c>
      <c r="B746" s="177"/>
      <c r="G746" s="177"/>
    </row>
    <row r="747" spans="1:7" x14ac:dyDescent="0.3">
      <c r="A747" s="182" t="s">
        <v>1279</v>
      </c>
      <c r="B747" s="177"/>
      <c r="G747" s="177"/>
    </row>
    <row r="748" spans="1:7" x14ac:dyDescent="0.3">
      <c r="A748" s="182" t="s">
        <v>1280</v>
      </c>
      <c r="B748" s="177"/>
      <c r="G748" s="177"/>
    </row>
    <row r="749" spans="1:7" x14ac:dyDescent="0.3">
      <c r="A749" s="182" t="s">
        <v>1281</v>
      </c>
      <c r="B749" s="177"/>
      <c r="G749" s="177"/>
    </row>
    <row r="750" spans="1:7" x14ac:dyDescent="0.3">
      <c r="A750" s="182" t="s">
        <v>1282</v>
      </c>
      <c r="B750" s="177"/>
      <c r="G750" s="177"/>
    </row>
    <row r="751" spans="1:7" x14ac:dyDescent="0.3">
      <c r="A751" s="182" t="s">
        <v>1283</v>
      </c>
      <c r="B751" s="177"/>
      <c r="G751" s="177"/>
    </row>
    <row r="752" spans="1:7" x14ac:dyDescent="0.3">
      <c r="A752" s="182" t="s">
        <v>1284</v>
      </c>
      <c r="B752" s="177"/>
      <c r="G752" s="177"/>
    </row>
    <row r="753" spans="1:7" x14ac:dyDescent="0.3">
      <c r="A753" s="182" t="s">
        <v>1285</v>
      </c>
      <c r="B753" s="177"/>
      <c r="G753" s="177"/>
    </row>
    <row r="754" spans="1:7" x14ac:dyDescent="0.3">
      <c r="A754" s="182" t="s">
        <v>1286</v>
      </c>
      <c r="B754" s="177"/>
      <c r="G754" s="177"/>
    </row>
    <row r="755" spans="1:7" x14ac:dyDescent="0.3">
      <c r="A755" s="182" t="s">
        <v>1287</v>
      </c>
      <c r="B755" s="177"/>
      <c r="G755" s="177"/>
    </row>
    <row r="756" spans="1:7" x14ac:dyDescent="0.3">
      <c r="A756" s="182" t="s">
        <v>1288</v>
      </c>
      <c r="B756" s="177"/>
      <c r="G756" s="177"/>
    </row>
    <row r="757" spans="1:7" x14ac:dyDescent="0.3">
      <c r="A757" s="182" t="s">
        <v>1289</v>
      </c>
      <c r="B757" s="177"/>
      <c r="G757" s="177"/>
    </row>
    <row r="758" spans="1:7" x14ac:dyDescent="0.3">
      <c r="A758" s="182" t="s">
        <v>1290</v>
      </c>
      <c r="B758" s="177"/>
      <c r="G758" s="177"/>
    </row>
    <row r="759" spans="1:7" x14ac:dyDescent="0.3">
      <c r="A759" s="182" t="s">
        <v>1291</v>
      </c>
      <c r="B759" s="177"/>
      <c r="G759" s="177"/>
    </row>
    <row r="760" spans="1:7" x14ac:dyDescent="0.3">
      <c r="A760" s="182" t="s">
        <v>1292</v>
      </c>
      <c r="B760" s="177"/>
      <c r="G760" s="177"/>
    </row>
    <row r="761" spans="1:7" x14ac:dyDescent="0.3">
      <c r="A761" s="182" t="s">
        <v>1293</v>
      </c>
      <c r="B761" s="177"/>
      <c r="G761" s="177"/>
    </row>
    <row r="762" spans="1:7" x14ac:dyDescent="0.3">
      <c r="A762" s="182" t="s">
        <v>1294</v>
      </c>
      <c r="B762" s="177"/>
      <c r="G762" s="177"/>
    </row>
    <row r="763" spans="1:7" x14ac:dyDescent="0.3">
      <c r="A763" s="182" t="s">
        <v>1295</v>
      </c>
      <c r="B763" s="177"/>
      <c r="G763" s="177"/>
    </row>
    <row r="764" spans="1:7" x14ac:dyDescent="0.3">
      <c r="A764" s="182" t="s">
        <v>1296</v>
      </c>
      <c r="B764" s="177"/>
      <c r="G764" s="177"/>
    </row>
    <row r="765" spans="1:7" x14ac:dyDescent="0.3">
      <c r="A765" s="182" t="s">
        <v>1297</v>
      </c>
      <c r="B765" s="177"/>
      <c r="G765" s="177"/>
    </row>
    <row r="766" spans="1:7" x14ac:dyDescent="0.3">
      <c r="A766" s="182" t="s">
        <v>1298</v>
      </c>
      <c r="B766" s="177"/>
      <c r="G766" s="177"/>
    </row>
    <row r="767" spans="1:7" x14ac:dyDescent="0.3">
      <c r="A767" s="182" t="s">
        <v>1299</v>
      </c>
      <c r="B767" s="177"/>
      <c r="G767" s="177"/>
    </row>
    <row r="768" spans="1:7" x14ac:dyDescent="0.3">
      <c r="A768" s="182" t="s">
        <v>1300</v>
      </c>
      <c r="B768" s="177"/>
      <c r="G768" s="177"/>
    </row>
    <row r="769" spans="1:7" x14ac:dyDescent="0.3">
      <c r="A769" s="182" t="s">
        <v>1301</v>
      </c>
      <c r="B769" s="177"/>
      <c r="G769" s="177"/>
    </row>
    <row r="770" spans="1:7" x14ac:dyDescent="0.3">
      <c r="A770" s="182" t="s">
        <v>1302</v>
      </c>
      <c r="B770" s="177"/>
      <c r="G770" s="177"/>
    </row>
    <row r="771" spans="1:7" x14ac:dyDescent="0.3">
      <c r="A771" s="182" t="s">
        <v>1303</v>
      </c>
      <c r="B771" s="177"/>
      <c r="G771" s="177"/>
    </row>
    <row r="772" spans="1:7" x14ac:dyDescent="0.3">
      <c r="A772" s="182" t="s">
        <v>1304</v>
      </c>
      <c r="B772" s="177"/>
      <c r="G772" s="177"/>
    </row>
    <row r="773" spans="1:7" x14ac:dyDescent="0.3">
      <c r="A773" s="182" t="s">
        <v>1305</v>
      </c>
      <c r="B773" s="177"/>
      <c r="G773" s="177"/>
    </row>
    <row r="774" spans="1:7" x14ac:dyDescent="0.3">
      <c r="A774" s="182" t="s">
        <v>1306</v>
      </c>
      <c r="B774" s="177"/>
      <c r="G774" s="177"/>
    </row>
    <row r="775" spans="1:7" x14ac:dyDescent="0.3">
      <c r="A775" s="182" t="s">
        <v>1307</v>
      </c>
      <c r="B775" s="177"/>
      <c r="G775" s="177"/>
    </row>
    <row r="776" spans="1:7" x14ac:dyDescent="0.3">
      <c r="A776" s="182" t="s">
        <v>1308</v>
      </c>
      <c r="B776" s="177"/>
      <c r="G776" s="177"/>
    </row>
    <row r="777" spans="1:7" x14ac:dyDescent="0.3">
      <c r="A777" s="182" t="s">
        <v>1309</v>
      </c>
      <c r="B777" s="177"/>
      <c r="G777" s="177"/>
    </row>
    <row r="778" spans="1:7" x14ac:dyDescent="0.3">
      <c r="A778" s="182" t="s">
        <v>1310</v>
      </c>
      <c r="B778" s="177"/>
      <c r="G778" s="177"/>
    </row>
    <row r="779" spans="1:7" x14ac:dyDescent="0.3">
      <c r="A779" s="182" t="s">
        <v>1311</v>
      </c>
      <c r="B779" s="177"/>
      <c r="G779" s="177"/>
    </row>
    <row r="780" spans="1:7" x14ac:dyDescent="0.3">
      <c r="A780" s="182" t="s">
        <v>1312</v>
      </c>
      <c r="B780" s="177"/>
      <c r="G780" s="177"/>
    </row>
    <row r="781" spans="1:7" x14ac:dyDescent="0.3">
      <c r="A781" s="182" t="s">
        <v>1313</v>
      </c>
      <c r="B781" s="177"/>
      <c r="G781" s="177"/>
    </row>
    <row r="782" spans="1:7" x14ac:dyDescent="0.3">
      <c r="A782" s="182" t="s">
        <v>1314</v>
      </c>
      <c r="B782" s="177"/>
      <c r="G782" s="177"/>
    </row>
    <row r="783" spans="1:7" x14ac:dyDescent="0.3">
      <c r="A783" s="182" t="s">
        <v>1315</v>
      </c>
      <c r="B783" s="177"/>
      <c r="G783" s="177"/>
    </row>
    <row r="784" spans="1:7" x14ac:dyDescent="0.3">
      <c r="A784" s="182" t="s">
        <v>1316</v>
      </c>
      <c r="B784" s="177"/>
      <c r="G784" s="177"/>
    </row>
    <row r="785" spans="1:7" x14ac:dyDescent="0.3">
      <c r="A785" s="182" t="s">
        <v>1317</v>
      </c>
      <c r="B785" s="177"/>
      <c r="G785" s="177"/>
    </row>
    <row r="786" spans="1:7" x14ac:dyDescent="0.3">
      <c r="A786" s="182" t="s">
        <v>1318</v>
      </c>
      <c r="B786" s="177"/>
      <c r="G786" s="177"/>
    </row>
    <row r="787" spans="1:7" x14ac:dyDescent="0.3">
      <c r="A787" s="182" t="s">
        <v>1319</v>
      </c>
      <c r="B787" s="177"/>
      <c r="G787" s="177"/>
    </row>
    <row r="788" spans="1:7" x14ac:dyDescent="0.3">
      <c r="A788" s="182" t="s">
        <v>1320</v>
      </c>
      <c r="B788" s="177"/>
      <c r="G788" s="177"/>
    </row>
    <row r="789" spans="1:7" x14ac:dyDescent="0.3">
      <c r="A789" s="182" t="s">
        <v>1321</v>
      </c>
      <c r="B789" s="177"/>
      <c r="G789" s="177"/>
    </row>
    <row r="790" spans="1:7" x14ac:dyDescent="0.3">
      <c r="A790" s="182" t="s">
        <v>1322</v>
      </c>
      <c r="B790" s="177"/>
      <c r="G790" s="177"/>
    </row>
    <row r="791" spans="1:7" x14ac:dyDescent="0.3">
      <c r="A791" s="182" t="s">
        <v>1323</v>
      </c>
      <c r="B791" s="177"/>
      <c r="G791" s="177"/>
    </row>
    <row r="792" spans="1:7" x14ac:dyDescent="0.3">
      <c r="A792" s="182" t="s">
        <v>1324</v>
      </c>
      <c r="B792" s="177"/>
      <c r="G792" s="177"/>
    </row>
    <row r="793" spans="1:7" x14ac:dyDescent="0.3">
      <c r="A793" s="182" t="s">
        <v>1325</v>
      </c>
      <c r="B793" s="177"/>
      <c r="G793" s="177"/>
    </row>
    <row r="794" spans="1:7" x14ac:dyDescent="0.3">
      <c r="A794" s="182" t="s">
        <v>1326</v>
      </c>
      <c r="B794" s="177"/>
      <c r="G794" s="177"/>
    </row>
    <row r="795" spans="1:7" x14ac:dyDescent="0.3">
      <c r="A795" s="182" t="s">
        <v>1327</v>
      </c>
      <c r="B795" s="177"/>
      <c r="G795" s="177"/>
    </row>
    <row r="796" spans="1:7" x14ac:dyDescent="0.3">
      <c r="A796" s="182" t="s">
        <v>1328</v>
      </c>
      <c r="B796" s="177"/>
      <c r="G796" s="177"/>
    </row>
    <row r="797" spans="1:7" x14ac:dyDescent="0.3">
      <c r="A797" s="182" t="s">
        <v>1329</v>
      </c>
      <c r="B797" s="177"/>
      <c r="G797" s="177"/>
    </row>
    <row r="798" spans="1:7" x14ac:dyDescent="0.3">
      <c r="A798" s="182" t="s">
        <v>1330</v>
      </c>
      <c r="B798" s="177"/>
      <c r="G798" s="177"/>
    </row>
    <row r="799" spans="1:7" x14ac:dyDescent="0.3">
      <c r="A799" s="182" t="s">
        <v>1331</v>
      </c>
      <c r="B799" s="177"/>
      <c r="G799" s="177"/>
    </row>
    <row r="800" spans="1:7" x14ac:dyDescent="0.3">
      <c r="A800" s="182" t="s">
        <v>1332</v>
      </c>
      <c r="B800" s="177"/>
      <c r="G800" s="177"/>
    </row>
    <row r="801" spans="1:7" x14ac:dyDescent="0.3">
      <c r="A801" s="182" t="s">
        <v>1333</v>
      </c>
      <c r="B801" s="177"/>
      <c r="G801" s="177"/>
    </row>
    <row r="802" spans="1:7" x14ac:dyDescent="0.3">
      <c r="A802" s="182" t="s">
        <v>1334</v>
      </c>
      <c r="B802" s="177"/>
      <c r="G802" s="177"/>
    </row>
    <row r="803" spans="1:7" x14ac:dyDescent="0.3">
      <c r="A803" s="182" t="s">
        <v>1335</v>
      </c>
      <c r="B803" s="177"/>
      <c r="G803" s="177"/>
    </row>
    <row r="804" spans="1:7" x14ac:dyDescent="0.3">
      <c r="A804" s="182" t="s">
        <v>1336</v>
      </c>
      <c r="B804" s="177"/>
      <c r="G804" s="177"/>
    </row>
    <row r="805" spans="1:7" x14ac:dyDescent="0.3">
      <c r="A805" s="182" t="s">
        <v>1337</v>
      </c>
      <c r="B805" s="177"/>
      <c r="G805" s="177"/>
    </row>
    <row r="806" spans="1:7" x14ac:dyDescent="0.3">
      <c r="A806" s="182" t="s">
        <v>1338</v>
      </c>
      <c r="B806" s="177"/>
      <c r="G806" s="177"/>
    </row>
    <row r="807" spans="1:7" x14ac:dyDescent="0.3">
      <c r="A807" s="182" t="s">
        <v>1339</v>
      </c>
      <c r="B807" s="177"/>
      <c r="G807" s="177"/>
    </row>
    <row r="808" spans="1:7" x14ac:dyDescent="0.3">
      <c r="A808" s="182" t="s">
        <v>1340</v>
      </c>
      <c r="B808" s="177"/>
      <c r="G808" s="177"/>
    </row>
    <row r="809" spans="1:7" x14ac:dyDescent="0.3">
      <c r="A809" s="182" t="s">
        <v>1341</v>
      </c>
      <c r="B809" s="177"/>
      <c r="G809" s="177"/>
    </row>
    <row r="810" spans="1:7" x14ac:dyDescent="0.3">
      <c r="A810" s="182" t="s">
        <v>1342</v>
      </c>
      <c r="B810" s="177"/>
      <c r="G810" s="177"/>
    </row>
    <row r="811" spans="1:7" x14ac:dyDescent="0.3">
      <c r="A811" s="182" t="s">
        <v>1343</v>
      </c>
      <c r="B811" s="177"/>
      <c r="G811" s="177"/>
    </row>
    <row r="812" spans="1:7" x14ac:dyDescent="0.3">
      <c r="A812" s="182" t="s">
        <v>1344</v>
      </c>
      <c r="B812" s="177"/>
      <c r="G812" s="177"/>
    </row>
    <row r="813" spans="1:7" x14ac:dyDescent="0.3">
      <c r="A813" s="182" t="s">
        <v>1345</v>
      </c>
      <c r="B813" s="177"/>
      <c r="G813" s="177"/>
    </row>
    <row r="814" spans="1:7" x14ac:dyDescent="0.3">
      <c r="A814" s="182" t="s">
        <v>1346</v>
      </c>
      <c r="B814" s="177"/>
      <c r="G814" s="177"/>
    </row>
    <row r="815" spans="1:7" x14ac:dyDescent="0.3">
      <c r="A815" s="182" t="s">
        <v>1347</v>
      </c>
      <c r="B815" s="177"/>
      <c r="G815" s="177"/>
    </row>
    <row r="816" spans="1:7" x14ac:dyDescent="0.3">
      <c r="A816" s="182" t="s">
        <v>1348</v>
      </c>
      <c r="B816" s="177"/>
      <c r="G816" s="177"/>
    </row>
    <row r="817" spans="1:7" x14ac:dyDescent="0.3">
      <c r="A817" s="182" t="s">
        <v>1349</v>
      </c>
      <c r="B817" s="177"/>
      <c r="G817" s="177"/>
    </row>
    <row r="818" spans="1:7" x14ac:dyDescent="0.3">
      <c r="A818" s="182" t="s">
        <v>1350</v>
      </c>
      <c r="B818" s="177"/>
      <c r="G818" s="177"/>
    </row>
    <row r="819" spans="1:7" x14ac:dyDescent="0.3">
      <c r="A819" s="182" t="s">
        <v>1351</v>
      </c>
      <c r="B819" s="177"/>
      <c r="G819" s="177"/>
    </row>
    <row r="820" spans="1:7" x14ac:dyDescent="0.3">
      <c r="A820" s="182" t="s">
        <v>1352</v>
      </c>
      <c r="B820" s="177"/>
      <c r="G820" s="177"/>
    </row>
    <row r="821" spans="1:7" x14ac:dyDescent="0.3">
      <c r="A821" s="182" t="s">
        <v>1353</v>
      </c>
      <c r="B821" s="177"/>
      <c r="G821" s="177"/>
    </row>
    <row r="822" spans="1:7" x14ac:dyDescent="0.3">
      <c r="A822" s="182" t="s">
        <v>1354</v>
      </c>
      <c r="B822" s="177"/>
      <c r="G822" s="177"/>
    </row>
    <row r="823" spans="1:7" x14ac:dyDescent="0.3">
      <c r="A823" s="182" t="s">
        <v>1355</v>
      </c>
      <c r="B823" s="177"/>
      <c r="G823" s="177"/>
    </row>
    <row r="824" spans="1:7" x14ac:dyDescent="0.3">
      <c r="A824" s="182" t="s">
        <v>1356</v>
      </c>
      <c r="B824" s="177"/>
      <c r="G824" s="177"/>
    </row>
    <row r="825" spans="1:7" x14ac:dyDescent="0.3">
      <c r="A825" s="182" t="s">
        <v>1357</v>
      </c>
      <c r="B825" s="177"/>
      <c r="G825" s="177"/>
    </row>
    <row r="826" spans="1:7" x14ac:dyDescent="0.3">
      <c r="A826" s="182" t="s">
        <v>1358</v>
      </c>
      <c r="B826" s="177"/>
      <c r="G826" s="177"/>
    </row>
    <row r="827" spans="1:7" x14ac:dyDescent="0.3">
      <c r="A827" s="182" t="s">
        <v>1359</v>
      </c>
      <c r="B827" s="177"/>
      <c r="G827" s="177"/>
    </row>
    <row r="828" spans="1:7" x14ac:dyDescent="0.3">
      <c r="A828" s="182" t="s">
        <v>1360</v>
      </c>
      <c r="B828" s="177"/>
      <c r="G828" s="177"/>
    </row>
    <row r="829" spans="1:7" x14ac:dyDescent="0.3">
      <c r="A829" s="182" t="s">
        <v>1361</v>
      </c>
      <c r="B829" s="177"/>
      <c r="G829" s="177"/>
    </row>
    <row r="830" spans="1:7" x14ac:dyDescent="0.3">
      <c r="A830" s="182" t="s">
        <v>1362</v>
      </c>
      <c r="B830" s="177"/>
      <c r="G830" s="177"/>
    </row>
    <row r="831" spans="1:7" x14ac:dyDescent="0.3">
      <c r="A831" s="182" t="s">
        <v>1363</v>
      </c>
      <c r="B831" s="177"/>
      <c r="G831" s="177"/>
    </row>
    <row r="832" spans="1:7" x14ac:dyDescent="0.3">
      <c r="A832" s="182" t="s">
        <v>1364</v>
      </c>
      <c r="B832" s="177"/>
      <c r="G832" s="177"/>
    </row>
    <row r="833" spans="1:7" x14ac:dyDescent="0.3">
      <c r="A833" s="182" t="s">
        <v>1365</v>
      </c>
      <c r="B833" s="177"/>
      <c r="G833" s="177"/>
    </row>
    <row r="834" spans="1:7" x14ac:dyDescent="0.3">
      <c r="A834" s="182" t="s">
        <v>1366</v>
      </c>
      <c r="B834" s="177"/>
      <c r="G834" s="177"/>
    </row>
    <row r="835" spans="1:7" x14ac:dyDescent="0.3">
      <c r="A835" s="182" t="s">
        <v>1367</v>
      </c>
      <c r="B835" s="177"/>
      <c r="G835" s="177"/>
    </row>
    <row r="836" spans="1:7" x14ac:dyDescent="0.3">
      <c r="A836" s="182" t="s">
        <v>1368</v>
      </c>
      <c r="B836" s="177"/>
      <c r="G836" s="177"/>
    </row>
    <row r="837" spans="1:7" x14ac:dyDescent="0.3">
      <c r="A837" s="182" t="s">
        <v>1369</v>
      </c>
      <c r="B837" s="177"/>
      <c r="G837" s="177"/>
    </row>
    <row r="838" spans="1:7" x14ac:dyDescent="0.3">
      <c r="A838" s="182" t="s">
        <v>1370</v>
      </c>
      <c r="B838" s="177"/>
      <c r="G838" s="177"/>
    </row>
    <row r="839" spans="1:7" x14ac:dyDescent="0.3">
      <c r="A839" s="182" t="s">
        <v>1371</v>
      </c>
      <c r="B839" s="177"/>
      <c r="G839" s="177"/>
    </row>
    <row r="840" spans="1:7" x14ac:dyDescent="0.3">
      <c r="A840" s="182" t="s">
        <v>1372</v>
      </c>
      <c r="B840" s="177"/>
      <c r="G840" s="177"/>
    </row>
    <row r="841" spans="1:7" x14ac:dyDescent="0.3">
      <c r="A841" s="182" t="s">
        <v>1373</v>
      </c>
      <c r="B841" s="177"/>
      <c r="G841" s="177"/>
    </row>
    <row r="842" spans="1:7" x14ac:dyDescent="0.3">
      <c r="A842" s="182" t="s">
        <v>1374</v>
      </c>
      <c r="B842" s="177"/>
      <c r="G842" s="177"/>
    </row>
    <row r="843" spans="1:7" x14ac:dyDescent="0.3">
      <c r="A843" s="182" t="s">
        <v>1375</v>
      </c>
      <c r="B843" s="177"/>
      <c r="G843" s="177"/>
    </row>
    <row r="844" spans="1:7" x14ac:dyDescent="0.3">
      <c r="A844" s="182" t="s">
        <v>1376</v>
      </c>
      <c r="B844" s="177"/>
      <c r="G844" s="177"/>
    </row>
    <row r="845" spans="1:7" x14ac:dyDescent="0.3">
      <c r="A845" s="182" t="s">
        <v>1377</v>
      </c>
      <c r="B845" s="177"/>
      <c r="G845" s="177"/>
    </row>
    <row r="846" spans="1:7" x14ac:dyDescent="0.3">
      <c r="A846" s="182" t="s">
        <v>1378</v>
      </c>
      <c r="B846" s="177"/>
      <c r="G846" s="177"/>
    </row>
    <row r="847" spans="1:7" x14ac:dyDescent="0.3">
      <c r="A847" s="182" t="s">
        <v>1379</v>
      </c>
      <c r="B847" s="177"/>
      <c r="G847" s="177"/>
    </row>
    <row r="848" spans="1:7" x14ac:dyDescent="0.3">
      <c r="A848" s="182" t="s">
        <v>1380</v>
      </c>
      <c r="B848" s="177"/>
      <c r="G848" s="177"/>
    </row>
    <row r="849" spans="1:7" x14ac:dyDescent="0.3">
      <c r="A849" s="182" t="s">
        <v>1381</v>
      </c>
      <c r="B849" s="177"/>
      <c r="G849" s="177"/>
    </row>
    <row r="850" spans="1:7" x14ac:dyDescent="0.3">
      <c r="A850" s="182" t="s">
        <v>1382</v>
      </c>
      <c r="B850" s="177"/>
      <c r="G850" s="177"/>
    </row>
    <row r="851" spans="1:7" x14ac:dyDescent="0.3">
      <c r="A851" s="182" t="s">
        <v>1383</v>
      </c>
      <c r="B851" s="177"/>
      <c r="G851" s="177"/>
    </row>
    <row r="852" spans="1:7" x14ac:dyDescent="0.3">
      <c r="A852" s="182" t="s">
        <v>1384</v>
      </c>
      <c r="B852" s="177"/>
      <c r="G852" s="177"/>
    </row>
    <row r="853" spans="1:7" x14ac:dyDescent="0.3">
      <c r="A853" s="182" t="s">
        <v>1385</v>
      </c>
      <c r="B853" s="177"/>
      <c r="G853" s="177"/>
    </row>
    <row r="854" spans="1:7" x14ac:dyDescent="0.3">
      <c r="A854" s="182" t="s">
        <v>1386</v>
      </c>
      <c r="B854" s="177"/>
      <c r="G854" s="177"/>
    </row>
    <row r="855" spans="1:7" x14ac:dyDescent="0.3">
      <c r="A855" s="182" t="s">
        <v>1387</v>
      </c>
      <c r="B855" s="177"/>
      <c r="G855" s="177"/>
    </row>
    <row r="856" spans="1:7" x14ac:dyDescent="0.3">
      <c r="A856" s="182" t="s">
        <v>1388</v>
      </c>
      <c r="B856" s="177"/>
      <c r="G856" s="177"/>
    </row>
    <row r="857" spans="1:7" x14ac:dyDescent="0.3">
      <c r="A857" s="182" t="s">
        <v>1389</v>
      </c>
      <c r="B857" s="177"/>
      <c r="G857" s="177"/>
    </row>
    <row r="858" spans="1:7" x14ac:dyDescent="0.3">
      <c r="A858" s="182" t="s">
        <v>1390</v>
      </c>
      <c r="B858" s="177"/>
      <c r="G858" s="177"/>
    </row>
    <row r="859" spans="1:7" x14ac:dyDescent="0.3">
      <c r="A859" s="182" t="s">
        <v>1391</v>
      </c>
      <c r="B859" s="177"/>
      <c r="G859" s="177"/>
    </row>
    <row r="860" spans="1:7" x14ac:dyDescent="0.3">
      <c r="A860" s="182" t="s">
        <v>1392</v>
      </c>
      <c r="B860" s="177"/>
      <c r="G860" s="177"/>
    </row>
    <row r="861" spans="1:7" x14ac:dyDescent="0.3">
      <c r="A861" s="182" t="s">
        <v>1393</v>
      </c>
      <c r="B861" s="177"/>
      <c r="G861" s="177"/>
    </row>
    <row r="862" spans="1:7" x14ac:dyDescent="0.3">
      <c r="A862" s="182" t="s">
        <v>1394</v>
      </c>
      <c r="B862" s="177"/>
      <c r="G862" s="177"/>
    </row>
    <row r="863" spans="1:7" x14ac:dyDescent="0.3">
      <c r="A863" s="182" t="s">
        <v>1395</v>
      </c>
      <c r="B863" s="177"/>
      <c r="G863" s="177"/>
    </row>
    <row r="864" spans="1:7" x14ac:dyDescent="0.3">
      <c r="A864" s="182" t="s">
        <v>1396</v>
      </c>
      <c r="B864" s="177"/>
      <c r="G864" s="177"/>
    </row>
    <row r="865" spans="1:7" x14ac:dyDescent="0.3">
      <c r="A865" s="182" t="s">
        <v>1397</v>
      </c>
      <c r="B865" s="177"/>
      <c r="G865" s="177"/>
    </row>
    <row r="866" spans="1:7" x14ac:dyDescent="0.3">
      <c r="A866" s="182" t="s">
        <v>1398</v>
      </c>
      <c r="B866" s="177"/>
      <c r="G866" s="177"/>
    </row>
    <row r="867" spans="1:7" x14ac:dyDescent="0.3">
      <c r="A867" s="182" t="s">
        <v>1399</v>
      </c>
      <c r="B867" s="177"/>
      <c r="G867" s="177"/>
    </row>
    <row r="868" spans="1:7" x14ac:dyDescent="0.3">
      <c r="A868" s="182" t="s">
        <v>1400</v>
      </c>
      <c r="B868" s="177"/>
      <c r="G868" s="177"/>
    </row>
    <row r="869" spans="1:7" x14ac:dyDescent="0.3">
      <c r="A869" s="182" t="s">
        <v>1401</v>
      </c>
      <c r="B869" s="177"/>
      <c r="G869" s="177"/>
    </row>
    <row r="870" spans="1:7" x14ac:dyDescent="0.3">
      <c r="A870" s="182" t="s">
        <v>1402</v>
      </c>
      <c r="B870" s="177"/>
      <c r="G870" s="177"/>
    </row>
    <row r="871" spans="1:7" x14ac:dyDescent="0.3">
      <c r="A871" s="182" t="s">
        <v>1403</v>
      </c>
      <c r="B871" s="177"/>
      <c r="G871" s="177"/>
    </row>
    <row r="872" spans="1:7" x14ac:dyDescent="0.3">
      <c r="A872" s="182" t="s">
        <v>1404</v>
      </c>
      <c r="B872" s="177"/>
      <c r="G872" s="177"/>
    </row>
    <row r="873" spans="1:7" x14ac:dyDescent="0.3">
      <c r="A873" s="182" t="s">
        <v>1405</v>
      </c>
      <c r="B873" s="177"/>
      <c r="G873" s="177"/>
    </row>
    <row r="874" spans="1:7" x14ac:dyDescent="0.3">
      <c r="A874" s="182" t="s">
        <v>1406</v>
      </c>
      <c r="B874" s="177"/>
      <c r="G874" s="177"/>
    </row>
    <row r="875" spans="1:7" x14ac:dyDescent="0.3">
      <c r="A875" s="182" t="s">
        <v>1407</v>
      </c>
      <c r="B875" s="177"/>
      <c r="G875" s="177"/>
    </row>
    <row r="876" spans="1:7" x14ac:dyDescent="0.3">
      <c r="A876" s="182" t="s">
        <v>1408</v>
      </c>
      <c r="B876" s="177"/>
      <c r="G876" s="177"/>
    </row>
    <row r="877" spans="1:7" x14ac:dyDescent="0.3">
      <c r="A877" s="182" t="s">
        <v>1409</v>
      </c>
      <c r="B877" s="177"/>
      <c r="G877" s="177"/>
    </row>
    <row r="878" spans="1:7" x14ac:dyDescent="0.3">
      <c r="A878" s="182" t="s">
        <v>1410</v>
      </c>
      <c r="B878" s="177"/>
      <c r="G878" s="177"/>
    </row>
    <row r="879" spans="1:7" x14ac:dyDescent="0.3">
      <c r="A879" s="182" t="s">
        <v>1411</v>
      </c>
      <c r="B879" s="177"/>
      <c r="G879" s="177"/>
    </row>
    <row r="880" spans="1:7" x14ac:dyDescent="0.3">
      <c r="A880" s="182" t="s">
        <v>1412</v>
      </c>
      <c r="B880" s="177"/>
      <c r="G880" s="177"/>
    </row>
    <row r="881" spans="1:7" x14ac:dyDescent="0.3">
      <c r="A881" s="182" t="s">
        <v>1413</v>
      </c>
      <c r="B881" s="177"/>
      <c r="G881" s="177"/>
    </row>
    <row r="882" spans="1:7" x14ac:dyDescent="0.3">
      <c r="A882" s="182" t="s">
        <v>1414</v>
      </c>
      <c r="B882" s="177"/>
      <c r="G882" s="177"/>
    </row>
    <row r="883" spans="1:7" x14ac:dyDescent="0.3">
      <c r="A883" s="182" t="s">
        <v>1415</v>
      </c>
      <c r="B883" s="177"/>
      <c r="G883" s="177"/>
    </row>
    <row r="884" spans="1:7" x14ac:dyDescent="0.3">
      <c r="A884" s="182" t="s">
        <v>1416</v>
      </c>
      <c r="B884" s="177"/>
      <c r="G884" s="177"/>
    </row>
    <row r="885" spans="1:7" x14ac:dyDescent="0.3">
      <c r="A885" s="182" t="s">
        <v>1417</v>
      </c>
      <c r="B885" s="177"/>
      <c r="G885" s="177"/>
    </row>
    <row r="886" spans="1:7" x14ac:dyDescent="0.3">
      <c r="A886" s="182" t="s">
        <v>1418</v>
      </c>
      <c r="B886" s="177"/>
      <c r="G886" s="177"/>
    </row>
    <row r="887" spans="1:7" x14ac:dyDescent="0.3">
      <c r="A887" s="182" t="s">
        <v>1419</v>
      </c>
      <c r="B887" s="177"/>
      <c r="G887" s="177"/>
    </row>
    <row r="888" spans="1:7" x14ac:dyDescent="0.3">
      <c r="A888" s="182" t="s">
        <v>1420</v>
      </c>
      <c r="B888" s="177"/>
      <c r="G888" s="177"/>
    </row>
    <row r="889" spans="1:7" x14ac:dyDescent="0.3">
      <c r="A889" s="182" t="s">
        <v>1421</v>
      </c>
      <c r="B889" s="177"/>
      <c r="G889" s="177"/>
    </row>
    <row r="890" spans="1:7" x14ac:dyDescent="0.3">
      <c r="A890" s="182" t="s">
        <v>1422</v>
      </c>
      <c r="B890" s="177"/>
      <c r="G890" s="177"/>
    </row>
    <row r="891" spans="1:7" x14ac:dyDescent="0.3">
      <c r="A891" s="182" t="s">
        <v>1423</v>
      </c>
      <c r="B891" s="177"/>
      <c r="G891" s="177"/>
    </row>
    <row r="892" spans="1:7" x14ac:dyDescent="0.3">
      <c r="A892" s="182" t="s">
        <v>1424</v>
      </c>
      <c r="B892" s="177"/>
      <c r="G892" s="177"/>
    </row>
    <row r="893" spans="1:7" x14ac:dyDescent="0.3">
      <c r="A893" s="182" t="s">
        <v>1425</v>
      </c>
      <c r="B893" s="177"/>
      <c r="G893" s="177"/>
    </row>
    <row r="894" spans="1:7" x14ac:dyDescent="0.3">
      <c r="A894" s="182" t="s">
        <v>1426</v>
      </c>
      <c r="B894" s="177"/>
      <c r="G894" s="177"/>
    </row>
    <row r="895" spans="1:7" x14ac:dyDescent="0.3">
      <c r="A895" s="182" t="s">
        <v>1427</v>
      </c>
      <c r="B895" s="177"/>
      <c r="G895" s="177"/>
    </row>
    <row r="896" spans="1:7" x14ac:dyDescent="0.3">
      <c r="A896" s="182" t="s">
        <v>1428</v>
      </c>
      <c r="B896" s="177"/>
      <c r="G896" s="177"/>
    </row>
    <row r="897" spans="1:7" x14ac:dyDescent="0.3">
      <c r="A897" s="182" t="s">
        <v>1429</v>
      </c>
      <c r="B897" s="177"/>
      <c r="G897" s="177"/>
    </row>
    <row r="898" spans="1:7" x14ac:dyDescent="0.3">
      <c r="A898" s="182" t="s">
        <v>1430</v>
      </c>
      <c r="B898" s="177"/>
      <c r="G898" s="177"/>
    </row>
    <row r="899" spans="1:7" x14ac:dyDescent="0.3">
      <c r="A899" s="182" t="s">
        <v>1431</v>
      </c>
      <c r="B899" s="177"/>
      <c r="G899" s="177"/>
    </row>
    <row r="900" spans="1:7" x14ac:dyDescent="0.3">
      <c r="A900" s="182" t="s">
        <v>1432</v>
      </c>
      <c r="B900" s="177"/>
      <c r="G900" s="177"/>
    </row>
    <row r="901" spans="1:7" x14ac:dyDescent="0.3">
      <c r="A901" s="182" t="s">
        <v>1433</v>
      </c>
      <c r="B901" s="177"/>
      <c r="G901" s="177"/>
    </row>
    <row r="902" spans="1:7" x14ac:dyDescent="0.3">
      <c r="A902" s="182" t="s">
        <v>1434</v>
      </c>
      <c r="B902" s="177"/>
      <c r="G902" s="177"/>
    </row>
    <row r="903" spans="1:7" x14ac:dyDescent="0.3">
      <c r="A903" s="182" t="s">
        <v>1435</v>
      </c>
      <c r="B903" s="177"/>
      <c r="G903" s="177"/>
    </row>
    <row r="904" spans="1:7" x14ac:dyDescent="0.3">
      <c r="A904" s="182" t="s">
        <v>1436</v>
      </c>
      <c r="B904" s="177"/>
      <c r="G904" s="177"/>
    </row>
    <row r="905" spans="1:7" x14ac:dyDescent="0.3">
      <c r="A905" s="182" t="s">
        <v>1437</v>
      </c>
      <c r="B905" s="177"/>
      <c r="G905" s="177"/>
    </row>
    <row r="906" spans="1:7" x14ac:dyDescent="0.3">
      <c r="A906" s="182" t="s">
        <v>1438</v>
      </c>
      <c r="B906" s="177"/>
      <c r="G906" s="177"/>
    </row>
    <row r="907" spans="1:7" x14ac:dyDescent="0.3">
      <c r="A907" s="182" t="s">
        <v>1439</v>
      </c>
      <c r="B907" s="177"/>
      <c r="G907" s="177"/>
    </row>
    <row r="908" spans="1:7" x14ac:dyDescent="0.3">
      <c r="A908" s="182" t="s">
        <v>1440</v>
      </c>
      <c r="B908" s="177"/>
      <c r="G908" s="177"/>
    </row>
    <row r="909" spans="1:7" x14ac:dyDescent="0.3">
      <c r="A909" s="182" t="s">
        <v>1441</v>
      </c>
      <c r="B909" s="177"/>
      <c r="G909" s="177"/>
    </row>
    <row r="910" spans="1:7" x14ac:dyDescent="0.3">
      <c r="A910" s="182" t="s">
        <v>1442</v>
      </c>
      <c r="B910" s="177"/>
      <c r="G910" s="177"/>
    </row>
    <row r="911" spans="1:7" x14ac:dyDescent="0.3">
      <c r="A911" s="182" t="s">
        <v>1443</v>
      </c>
      <c r="B911" s="177"/>
      <c r="G911" s="177"/>
    </row>
    <row r="912" spans="1:7" x14ac:dyDescent="0.3">
      <c r="A912" s="182" t="s">
        <v>1444</v>
      </c>
      <c r="B912" s="177"/>
      <c r="G912" s="177"/>
    </row>
    <row r="913" spans="1:7" x14ac:dyDescent="0.3">
      <c r="A913" s="182" t="s">
        <v>1445</v>
      </c>
      <c r="B913" s="177"/>
      <c r="G913" s="177"/>
    </row>
    <row r="914" spans="1:7" x14ac:dyDescent="0.3">
      <c r="A914" s="182" t="s">
        <v>1446</v>
      </c>
      <c r="B914" s="177"/>
      <c r="G914" s="177"/>
    </row>
    <row r="915" spans="1:7" x14ac:dyDescent="0.3">
      <c r="A915" s="182" t="s">
        <v>1447</v>
      </c>
      <c r="B915" s="177"/>
      <c r="G915" s="177"/>
    </row>
    <row r="916" spans="1:7" x14ac:dyDescent="0.3">
      <c r="A916" s="182" t="s">
        <v>1448</v>
      </c>
      <c r="B916" s="177"/>
      <c r="G916" s="177"/>
    </row>
    <row r="917" spans="1:7" x14ac:dyDescent="0.3">
      <c r="A917" s="182" t="s">
        <v>1449</v>
      </c>
      <c r="B917" s="177"/>
      <c r="G917" s="177"/>
    </row>
    <row r="918" spans="1:7" x14ac:dyDescent="0.3">
      <c r="A918" s="182" t="s">
        <v>1450</v>
      </c>
      <c r="B918" s="177"/>
      <c r="G918" s="177"/>
    </row>
    <row r="919" spans="1:7" x14ac:dyDescent="0.3">
      <c r="A919" s="182" t="s">
        <v>1451</v>
      </c>
      <c r="B919" s="177"/>
      <c r="G919" s="177"/>
    </row>
    <row r="920" spans="1:7" x14ac:dyDescent="0.3">
      <c r="A920" s="182" t="s">
        <v>1452</v>
      </c>
      <c r="B920" s="177"/>
      <c r="G920" s="177"/>
    </row>
    <row r="921" spans="1:7" x14ac:dyDescent="0.3">
      <c r="A921" s="182" t="s">
        <v>1453</v>
      </c>
      <c r="B921" s="177"/>
      <c r="G921" s="177"/>
    </row>
    <row r="922" spans="1:7" x14ac:dyDescent="0.3">
      <c r="A922" s="182" t="s">
        <v>1454</v>
      </c>
      <c r="B922" s="177"/>
      <c r="G922" s="177"/>
    </row>
    <row r="923" spans="1:7" x14ac:dyDescent="0.3">
      <c r="A923" s="182" t="s">
        <v>1455</v>
      </c>
      <c r="B923" s="177"/>
      <c r="G923" s="177"/>
    </row>
    <row r="924" spans="1:7" x14ac:dyDescent="0.3">
      <c r="A924" s="182" t="s">
        <v>1456</v>
      </c>
      <c r="B924" s="177"/>
      <c r="G924" s="177"/>
    </row>
    <row r="925" spans="1:7" x14ac:dyDescent="0.3">
      <c r="A925" s="182" t="s">
        <v>1457</v>
      </c>
      <c r="B925" s="177"/>
      <c r="G925" s="177"/>
    </row>
    <row r="926" spans="1:7" x14ac:dyDescent="0.3">
      <c r="A926" s="182" t="s">
        <v>1458</v>
      </c>
      <c r="B926" s="177"/>
      <c r="G926" s="177"/>
    </row>
    <row r="927" spans="1:7" x14ac:dyDescent="0.3">
      <c r="A927" s="182" t="s">
        <v>1459</v>
      </c>
      <c r="B927" s="177"/>
      <c r="G927" s="177"/>
    </row>
    <row r="928" spans="1:7" x14ac:dyDescent="0.3">
      <c r="A928" s="182" t="s">
        <v>1460</v>
      </c>
      <c r="B928" s="177"/>
      <c r="G928" s="177"/>
    </row>
    <row r="929" spans="1:7" x14ac:dyDescent="0.3">
      <c r="A929" s="182" t="s">
        <v>1461</v>
      </c>
      <c r="B929" s="177"/>
      <c r="G929" s="177"/>
    </row>
    <row r="930" spans="1:7" x14ac:dyDescent="0.3">
      <c r="A930" s="182" t="s">
        <v>1462</v>
      </c>
      <c r="B930" s="177"/>
      <c r="G930" s="177"/>
    </row>
    <row r="931" spans="1:7" x14ac:dyDescent="0.3">
      <c r="A931" s="182" t="s">
        <v>1463</v>
      </c>
      <c r="B931" s="177"/>
      <c r="G931" s="177"/>
    </row>
    <row r="932" spans="1:7" x14ac:dyDescent="0.3">
      <c r="A932" s="182" t="s">
        <v>1464</v>
      </c>
      <c r="B932" s="177"/>
      <c r="G932" s="177"/>
    </row>
    <row r="933" spans="1:7" x14ac:dyDescent="0.3">
      <c r="A933" s="182" t="s">
        <v>1465</v>
      </c>
      <c r="B933" s="177"/>
      <c r="G933" s="177"/>
    </row>
    <row r="934" spans="1:7" x14ac:dyDescent="0.3">
      <c r="A934" s="182" t="s">
        <v>1466</v>
      </c>
      <c r="B934" s="177"/>
      <c r="G934" s="177"/>
    </row>
    <row r="935" spans="1:7" x14ac:dyDescent="0.3">
      <c r="A935" s="182" t="s">
        <v>1467</v>
      </c>
      <c r="B935" s="177"/>
      <c r="G935" s="177"/>
    </row>
    <row r="936" spans="1:7" x14ac:dyDescent="0.3">
      <c r="A936" s="182" t="s">
        <v>1468</v>
      </c>
      <c r="B936" s="177"/>
      <c r="G936" s="177"/>
    </row>
    <row r="937" spans="1:7" x14ac:dyDescent="0.3">
      <c r="A937" s="182" t="s">
        <v>1469</v>
      </c>
      <c r="B937" s="177"/>
      <c r="G937" s="177"/>
    </row>
    <row r="938" spans="1:7" x14ac:dyDescent="0.3">
      <c r="A938" s="182" t="s">
        <v>1470</v>
      </c>
      <c r="B938" s="177"/>
      <c r="G938" s="177"/>
    </row>
    <row r="939" spans="1:7" x14ac:dyDescent="0.3">
      <c r="A939" s="182" t="s">
        <v>1471</v>
      </c>
      <c r="B939" s="177"/>
      <c r="G939" s="177"/>
    </row>
    <row r="940" spans="1:7" x14ac:dyDescent="0.3">
      <c r="A940" s="182" t="s">
        <v>1472</v>
      </c>
      <c r="B940" s="177"/>
      <c r="G940" s="177"/>
    </row>
    <row r="941" spans="1:7" x14ac:dyDescent="0.3">
      <c r="A941" s="182" t="s">
        <v>1473</v>
      </c>
      <c r="B941" s="177"/>
      <c r="G941" s="177"/>
    </row>
    <row r="942" spans="1:7" x14ac:dyDescent="0.3">
      <c r="A942" s="182" t="s">
        <v>1474</v>
      </c>
      <c r="B942" s="177"/>
      <c r="G942" s="177"/>
    </row>
    <row r="943" spans="1:7" x14ac:dyDescent="0.3">
      <c r="A943" s="182" t="s">
        <v>1475</v>
      </c>
      <c r="B943" s="177"/>
      <c r="G943" s="177"/>
    </row>
    <row r="944" spans="1:7" x14ac:dyDescent="0.3">
      <c r="A944" s="182" t="s">
        <v>1476</v>
      </c>
      <c r="B944" s="177"/>
      <c r="G944" s="177"/>
    </row>
    <row r="945" spans="1:7" x14ac:dyDescent="0.3">
      <c r="A945" s="182" t="s">
        <v>1477</v>
      </c>
      <c r="B945" s="177"/>
      <c r="G945" s="177"/>
    </row>
    <row r="946" spans="1:7" x14ac:dyDescent="0.3">
      <c r="A946" s="182" t="s">
        <v>1478</v>
      </c>
      <c r="B946" s="177"/>
      <c r="G946" s="177"/>
    </row>
    <row r="947" spans="1:7" x14ac:dyDescent="0.3">
      <c r="A947" s="182" t="s">
        <v>1479</v>
      </c>
      <c r="B947" s="177"/>
      <c r="G947" s="177"/>
    </row>
    <row r="948" spans="1:7" x14ac:dyDescent="0.3">
      <c r="A948" s="182" t="s">
        <v>1480</v>
      </c>
      <c r="B948" s="177"/>
      <c r="G948" s="177"/>
    </row>
    <row r="949" spans="1:7" x14ac:dyDescent="0.3">
      <c r="A949" s="182" t="s">
        <v>1481</v>
      </c>
      <c r="B949" s="177"/>
      <c r="G949" s="177"/>
    </row>
    <row r="950" spans="1:7" x14ac:dyDescent="0.3">
      <c r="A950" s="182" t="s">
        <v>1482</v>
      </c>
      <c r="B950" s="177"/>
      <c r="G950" s="177"/>
    </row>
    <row r="951" spans="1:7" x14ac:dyDescent="0.3">
      <c r="A951" s="182" t="s">
        <v>1483</v>
      </c>
      <c r="B951" s="177"/>
      <c r="G951" s="177"/>
    </row>
    <row r="952" spans="1:7" x14ac:dyDescent="0.3">
      <c r="A952" s="182" t="s">
        <v>1484</v>
      </c>
      <c r="B952" s="177"/>
      <c r="G952" s="177"/>
    </row>
    <row r="953" spans="1:7" x14ac:dyDescent="0.3">
      <c r="A953" s="182" t="s">
        <v>1485</v>
      </c>
      <c r="B953" s="177"/>
      <c r="G953" s="177"/>
    </row>
    <row r="954" spans="1:7" x14ac:dyDescent="0.3">
      <c r="A954" s="182" t="s">
        <v>1486</v>
      </c>
      <c r="B954" s="177"/>
      <c r="G954" s="177"/>
    </row>
    <row r="955" spans="1:7" x14ac:dyDescent="0.3">
      <c r="A955" s="182" t="s">
        <v>1487</v>
      </c>
      <c r="B955" s="177"/>
      <c r="G955" s="177"/>
    </row>
    <row r="956" spans="1:7" x14ac:dyDescent="0.3">
      <c r="A956" s="182" t="s">
        <v>1488</v>
      </c>
      <c r="B956" s="177"/>
      <c r="G956" s="177"/>
    </row>
    <row r="957" spans="1:7" x14ac:dyDescent="0.3">
      <c r="A957" s="182" t="s">
        <v>1489</v>
      </c>
      <c r="B957" s="177"/>
      <c r="G957" s="177"/>
    </row>
    <row r="958" spans="1:7" x14ac:dyDescent="0.3">
      <c r="A958" s="182" t="s">
        <v>1490</v>
      </c>
      <c r="B958" s="177"/>
      <c r="G958" s="177"/>
    </row>
    <row r="959" spans="1:7" x14ac:dyDescent="0.3">
      <c r="A959" s="182" t="s">
        <v>1491</v>
      </c>
      <c r="B959" s="177"/>
      <c r="G959" s="177"/>
    </row>
    <row r="960" spans="1:7" x14ac:dyDescent="0.3">
      <c r="A960" s="182" t="s">
        <v>1492</v>
      </c>
      <c r="B960" s="177"/>
      <c r="G960" s="177"/>
    </row>
    <row r="961" spans="1:7" x14ac:dyDescent="0.3">
      <c r="A961" s="182" t="s">
        <v>1493</v>
      </c>
      <c r="B961" s="177"/>
      <c r="G961" s="177"/>
    </row>
    <row r="962" spans="1:7" x14ac:dyDescent="0.3">
      <c r="A962" s="182" t="s">
        <v>1494</v>
      </c>
      <c r="B962" s="177"/>
      <c r="G962" s="177"/>
    </row>
    <row r="963" spans="1:7" x14ac:dyDescent="0.3">
      <c r="A963" s="182" t="s">
        <v>1495</v>
      </c>
      <c r="B963" s="177"/>
      <c r="G963" s="177"/>
    </row>
    <row r="964" spans="1:7" x14ac:dyDescent="0.3">
      <c r="A964" s="182" t="s">
        <v>1496</v>
      </c>
      <c r="B964" s="177"/>
      <c r="G964" s="177"/>
    </row>
    <row r="965" spans="1:7" x14ac:dyDescent="0.3">
      <c r="A965" s="182" t="s">
        <v>1497</v>
      </c>
      <c r="B965" s="177"/>
      <c r="G965" s="177"/>
    </row>
    <row r="966" spans="1:7" x14ac:dyDescent="0.3">
      <c r="A966" s="182" t="s">
        <v>1498</v>
      </c>
      <c r="B966" s="177"/>
      <c r="G966" s="177"/>
    </row>
    <row r="967" spans="1:7" x14ac:dyDescent="0.3">
      <c r="A967" s="182" t="s">
        <v>1499</v>
      </c>
      <c r="B967" s="177"/>
      <c r="G967" s="177"/>
    </row>
    <row r="968" spans="1:7" x14ac:dyDescent="0.3">
      <c r="A968" s="182" t="s">
        <v>1500</v>
      </c>
      <c r="B968" s="177"/>
      <c r="G968" s="177"/>
    </row>
    <row r="969" spans="1:7" x14ac:dyDescent="0.3">
      <c r="A969" s="182" t="s">
        <v>1501</v>
      </c>
      <c r="B969" s="177"/>
      <c r="G969" s="177"/>
    </row>
    <row r="970" spans="1:7" x14ac:dyDescent="0.3">
      <c r="A970" s="182" t="s">
        <v>1502</v>
      </c>
      <c r="B970" s="177"/>
      <c r="G970" s="177"/>
    </row>
    <row r="971" spans="1:7" x14ac:dyDescent="0.3">
      <c r="A971" s="182" t="s">
        <v>1503</v>
      </c>
      <c r="B971" s="177"/>
      <c r="G971" s="177"/>
    </row>
    <row r="972" spans="1:7" x14ac:dyDescent="0.3">
      <c r="A972" s="182" t="s">
        <v>1504</v>
      </c>
      <c r="B972" s="177"/>
      <c r="G972" s="177"/>
    </row>
    <row r="973" spans="1:7" x14ac:dyDescent="0.3">
      <c r="A973" s="182" t="s">
        <v>1505</v>
      </c>
      <c r="B973" s="177"/>
      <c r="G973" s="177"/>
    </row>
    <row r="974" spans="1:7" x14ac:dyDescent="0.3">
      <c r="A974" s="182" t="s">
        <v>1506</v>
      </c>
      <c r="B974" s="177"/>
      <c r="G974" s="177"/>
    </row>
    <row r="975" spans="1:7" x14ac:dyDescent="0.3">
      <c r="A975" s="182" t="s">
        <v>1507</v>
      </c>
      <c r="B975" s="177"/>
      <c r="G975" s="177"/>
    </row>
    <row r="976" spans="1:7" x14ac:dyDescent="0.3">
      <c r="A976" s="182" t="s">
        <v>1508</v>
      </c>
      <c r="B976" s="177"/>
      <c r="G976" s="177"/>
    </row>
    <row r="977" spans="1:7" x14ac:dyDescent="0.3">
      <c r="A977" s="182" t="s">
        <v>1509</v>
      </c>
      <c r="B977" s="177"/>
      <c r="G977" s="177"/>
    </row>
    <row r="978" spans="1:7" x14ac:dyDescent="0.3">
      <c r="A978" s="182" t="s">
        <v>1510</v>
      </c>
      <c r="B978" s="177"/>
      <c r="G978" s="177"/>
    </row>
    <row r="979" spans="1:7" x14ac:dyDescent="0.3">
      <c r="A979" s="182" t="s">
        <v>1511</v>
      </c>
      <c r="B979" s="177"/>
      <c r="G979" s="177"/>
    </row>
    <row r="980" spans="1:7" x14ac:dyDescent="0.3">
      <c r="A980" s="182" t="s">
        <v>1512</v>
      </c>
      <c r="B980" s="177"/>
      <c r="G980" s="177"/>
    </row>
    <row r="981" spans="1:7" x14ac:dyDescent="0.3">
      <c r="A981" s="182" t="s">
        <v>1513</v>
      </c>
      <c r="B981" s="177"/>
      <c r="G981" s="177"/>
    </row>
    <row r="982" spans="1:7" x14ac:dyDescent="0.3">
      <c r="A982" s="182" t="s">
        <v>1514</v>
      </c>
      <c r="B982" s="177"/>
      <c r="G982" s="177"/>
    </row>
    <row r="983" spans="1:7" x14ac:dyDescent="0.3">
      <c r="A983" s="182" t="s">
        <v>1515</v>
      </c>
      <c r="B983" s="177"/>
      <c r="G983" s="177"/>
    </row>
    <row r="984" spans="1:7" x14ac:dyDescent="0.3">
      <c r="A984" s="182" t="s">
        <v>1516</v>
      </c>
      <c r="B984" s="177"/>
      <c r="G984" s="177"/>
    </row>
    <row r="985" spans="1:7" x14ac:dyDescent="0.3">
      <c r="A985" s="182" t="s">
        <v>1517</v>
      </c>
      <c r="B985" s="177"/>
      <c r="G985" s="177"/>
    </row>
    <row r="986" spans="1:7" x14ac:dyDescent="0.3">
      <c r="A986" s="182" t="s">
        <v>1518</v>
      </c>
      <c r="B986" s="177"/>
      <c r="G986" s="177"/>
    </row>
    <row r="987" spans="1:7" x14ac:dyDescent="0.3">
      <c r="A987" s="182" t="s">
        <v>1519</v>
      </c>
      <c r="B987" s="177"/>
      <c r="G987" s="177"/>
    </row>
    <row r="988" spans="1:7" x14ac:dyDescent="0.3">
      <c r="A988" s="182" t="s">
        <v>1520</v>
      </c>
      <c r="B988" s="177"/>
      <c r="G988" s="177"/>
    </row>
    <row r="989" spans="1:7" x14ac:dyDescent="0.3">
      <c r="A989" s="182" t="s">
        <v>1521</v>
      </c>
      <c r="B989" s="177"/>
      <c r="G989" s="177"/>
    </row>
    <row r="990" spans="1:7" x14ac:dyDescent="0.3">
      <c r="A990" s="182" t="s">
        <v>1522</v>
      </c>
      <c r="B990" s="177"/>
      <c r="G990" s="177"/>
    </row>
    <row r="991" spans="1:7" x14ac:dyDescent="0.3">
      <c r="A991" s="182" t="s">
        <v>1523</v>
      </c>
      <c r="B991" s="177"/>
      <c r="G991" s="177"/>
    </row>
    <row r="992" spans="1:7" x14ac:dyDescent="0.3">
      <c r="A992" s="182" t="s">
        <v>1524</v>
      </c>
      <c r="B992" s="177"/>
      <c r="G992" s="177"/>
    </row>
    <row r="993" spans="1:7" x14ac:dyDescent="0.3">
      <c r="A993" s="182" t="s">
        <v>1525</v>
      </c>
      <c r="B993" s="177"/>
      <c r="G993" s="177"/>
    </row>
    <row r="994" spans="1:7" x14ac:dyDescent="0.3">
      <c r="A994" s="182" t="s">
        <v>1526</v>
      </c>
      <c r="B994" s="177"/>
      <c r="G994" s="177"/>
    </row>
    <row r="995" spans="1:7" x14ac:dyDescent="0.3">
      <c r="A995" s="182" t="s">
        <v>1527</v>
      </c>
      <c r="B995" s="177"/>
      <c r="G995" s="177"/>
    </row>
    <row r="996" spans="1:7" x14ac:dyDescent="0.3">
      <c r="A996" s="182" t="s">
        <v>1528</v>
      </c>
      <c r="B996" s="177"/>
      <c r="G996" s="177"/>
    </row>
    <row r="997" spans="1:7" x14ac:dyDescent="0.3">
      <c r="A997" s="182" t="s">
        <v>1529</v>
      </c>
      <c r="B997" s="177"/>
      <c r="G997" s="177"/>
    </row>
    <row r="998" spans="1:7" x14ac:dyDescent="0.3">
      <c r="A998" s="182" t="s">
        <v>1530</v>
      </c>
      <c r="B998" s="177"/>
      <c r="G998" s="177"/>
    </row>
    <row r="999" spans="1:7" x14ac:dyDescent="0.3">
      <c r="A999" s="182" t="s">
        <v>1531</v>
      </c>
      <c r="B999" s="177"/>
      <c r="G999" s="177"/>
    </row>
    <row r="1000" spans="1:7" x14ac:dyDescent="0.3">
      <c r="A1000" s="182" t="s">
        <v>1532</v>
      </c>
      <c r="B1000" s="177"/>
      <c r="G1000" s="177"/>
    </row>
    <row r="1001" spans="1:7" x14ac:dyDescent="0.3">
      <c r="A1001" s="182" t="s">
        <v>1533</v>
      </c>
      <c r="B1001" s="177"/>
      <c r="G1001" s="177"/>
    </row>
    <row r="1002" spans="1:7" x14ac:dyDescent="0.3">
      <c r="A1002" s="182" t="s">
        <v>1534</v>
      </c>
      <c r="B1002" s="177"/>
      <c r="G1002" s="177"/>
    </row>
    <row r="1003" spans="1:7" x14ac:dyDescent="0.3">
      <c r="A1003" s="182" t="s">
        <v>1535</v>
      </c>
      <c r="B1003" s="177"/>
      <c r="G1003" s="177"/>
    </row>
    <row r="1004" spans="1:7" x14ac:dyDescent="0.3">
      <c r="A1004" s="182" t="s">
        <v>1536</v>
      </c>
      <c r="B1004" s="177"/>
      <c r="G1004" s="177"/>
    </row>
    <row r="1005" spans="1:7" x14ac:dyDescent="0.3">
      <c r="A1005" s="182" t="s">
        <v>1537</v>
      </c>
      <c r="B1005" s="177"/>
      <c r="G1005" s="177"/>
    </row>
    <row r="1006" spans="1:7" x14ac:dyDescent="0.3">
      <c r="A1006" s="182" t="s">
        <v>1538</v>
      </c>
      <c r="B1006" s="177"/>
      <c r="G1006" s="177"/>
    </row>
    <row r="1007" spans="1:7" x14ac:dyDescent="0.3">
      <c r="A1007" s="182" t="s">
        <v>1539</v>
      </c>
      <c r="B1007" s="177"/>
      <c r="G1007" s="177"/>
    </row>
    <row r="1008" spans="1:7" x14ac:dyDescent="0.3">
      <c r="A1008" s="182" t="s">
        <v>1540</v>
      </c>
      <c r="B1008" s="177"/>
      <c r="G1008" s="177"/>
    </row>
    <row r="1009" spans="1:7" x14ac:dyDescent="0.3">
      <c r="A1009" s="182" t="s">
        <v>1541</v>
      </c>
      <c r="B1009" s="177"/>
      <c r="G1009" s="177"/>
    </row>
    <row r="1010" spans="1:7" x14ac:dyDescent="0.3">
      <c r="A1010" s="182" t="s">
        <v>1542</v>
      </c>
      <c r="B1010" s="177"/>
      <c r="G1010" s="177"/>
    </row>
    <row r="1011" spans="1:7" x14ac:dyDescent="0.3">
      <c r="A1011" s="182" t="s">
        <v>1543</v>
      </c>
      <c r="B1011" s="177"/>
      <c r="G1011" s="177"/>
    </row>
    <row r="1012" spans="1:7" x14ac:dyDescent="0.3">
      <c r="A1012" s="182" t="s">
        <v>1544</v>
      </c>
      <c r="B1012" s="177"/>
      <c r="G1012" s="177"/>
    </row>
    <row r="1013" spans="1:7" x14ac:dyDescent="0.3">
      <c r="A1013" s="182" t="s">
        <v>1545</v>
      </c>
      <c r="B1013" s="177"/>
      <c r="G1013" s="177"/>
    </row>
    <row r="1014" spans="1:7" x14ac:dyDescent="0.3">
      <c r="A1014" s="182" t="s">
        <v>1546</v>
      </c>
      <c r="B1014" s="177"/>
      <c r="G1014" s="177"/>
    </row>
    <row r="1015" spans="1:7" x14ac:dyDescent="0.3">
      <c r="A1015" s="182" t="s">
        <v>1547</v>
      </c>
      <c r="B1015" s="177"/>
      <c r="G1015" s="177"/>
    </row>
    <row r="1016" spans="1:7" x14ac:dyDescent="0.3">
      <c r="A1016" s="182" t="s">
        <v>1548</v>
      </c>
      <c r="B1016" s="177"/>
      <c r="G1016" s="177"/>
    </row>
    <row r="1017" spans="1:7" x14ac:dyDescent="0.3">
      <c r="A1017" s="182" t="s">
        <v>1549</v>
      </c>
      <c r="B1017" s="177"/>
      <c r="G1017" s="177"/>
    </row>
    <row r="1018" spans="1:7" x14ac:dyDescent="0.3">
      <c r="A1018" s="182" t="s">
        <v>1550</v>
      </c>
      <c r="B1018" s="177"/>
      <c r="G1018" s="177"/>
    </row>
    <row r="1019" spans="1:7" x14ac:dyDescent="0.3">
      <c r="A1019" s="182" t="s">
        <v>1551</v>
      </c>
      <c r="B1019" s="177"/>
      <c r="G1019" s="177"/>
    </row>
    <row r="1020" spans="1:7" x14ac:dyDescent="0.3">
      <c r="A1020" s="182" t="s">
        <v>1552</v>
      </c>
      <c r="B1020" s="177"/>
      <c r="G1020" s="177"/>
    </row>
    <row r="1021" spans="1:7" x14ac:dyDescent="0.3">
      <c r="A1021" s="182" t="s">
        <v>1553</v>
      </c>
      <c r="B1021" s="177"/>
      <c r="G1021" s="177"/>
    </row>
    <row r="1022" spans="1:7" x14ac:dyDescent="0.3">
      <c r="A1022" s="182" t="s">
        <v>1554</v>
      </c>
      <c r="B1022" s="177"/>
      <c r="G1022" s="177"/>
    </row>
    <row r="1023" spans="1:7" x14ac:dyDescent="0.3">
      <c r="A1023" s="182" t="s">
        <v>1555</v>
      </c>
      <c r="B1023" s="177"/>
      <c r="G1023" s="177"/>
    </row>
    <row r="1024" spans="1:7" x14ac:dyDescent="0.3">
      <c r="A1024" s="182" t="s">
        <v>1556</v>
      </c>
      <c r="B1024" s="177"/>
      <c r="G1024" s="177"/>
    </row>
    <row r="1025" spans="1:7" x14ac:dyDescent="0.3">
      <c r="A1025" s="182" t="s">
        <v>1557</v>
      </c>
      <c r="B1025" s="177"/>
      <c r="G1025" s="177"/>
    </row>
    <row r="1026" spans="1:7" x14ac:dyDescent="0.3">
      <c r="A1026" s="182" t="s">
        <v>1558</v>
      </c>
      <c r="B1026" s="177"/>
      <c r="G1026" s="177"/>
    </row>
    <row r="1027" spans="1:7" x14ac:dyDescent="0.3">
      <c r="A1027" s="182" t="s">
        <v>1559</v>
      </c>
      <c r="B1027" s="177"/>
      <c r="G1027" s="177"/>
    </row>
    <row r="1028" spans="1:7" x14ac:dyDescent="0.3">
      <c r="A1028" s="182" t="s">
        <v>1560</v>
      </c>
      <c r="B1028" s="177"/>
      <c r="G1028" s="177"/>
    </row>
    <row r="1029" spans="1:7" x14ac:dyDescent="0.3">
      <c r="A1029" s="182" t="s">
        <v>1561</v>
      </c>
      <c r="B1029" s="177"/>
      <c r="G1029" s="177"/>
    </row>
    <row r="1030" spans="1:7" x14ac:dyDescent="0.3">
      <c r="A1030" s="182" t="s">
        <v>1562</v>
      </c>
      <c r="B1030" s="177"/>
      <c r="G1030" s="177"/>
    </row>
    <row r="1031" spans="1:7" x14ac:dyDescent="0.3">
      <c r="A1031" s="182" t="s">
        <v>1563</v>
      </c>
      <c r="B1031" s="177"/>
      <c r="G1031" s="177"/>
    </row>
    <row r="1032" spans="1:7" x14ac:dyDescent="0.3">
      <c r="A1032" s="182" t="s">
        <v>1564</v>
      </c>
      <c r="B1032" s="177"/>
      <c r="G1032" s="177"/>
    </row>
    <row r="1033" spans="1:7" x14ac:dyDescent="0.3">
      <c r="A1033" s="182" t="s">
        <v>1565</v>
      </c>
      <c r="B1033" s="177"/>
      <c r="G1033" s="177"/>
    </row>
    <row r="1034" spans="1:7" x14ac:dyDescent="0.3">
      <c r="A1034" s="182" t="s">
        <v>1566</v>
      </c>
      <c r="B1034" s="177"/>
      <c r="G1034" s="177"/>
    </row>
    <row r="1035" spans="1:7" x14ac:dyDescent="0.3">
      <c r="A1035" s="182" t="s">
        <v>1567</v>
      </c>
      <c r="B1035" s="177"/>
      <c r="G1035" s="177"/>
    </row>
    <row r="1036" spans="1:7" x14ac:dyDescent="0.3">
      <c r="A1036" s="182" t="s">
        <v>1568</v>
      </c>
      <c r="B1036" s="177"/>
      <c r="G1036" s="177"/>
    </row>
    <row r="1037" spans="1:7" x14ac:dyDescent="0.3">
      <c r="A1037" s="182" t="s">
        <v>1569</v>
      </c>
      <c r="B1037" s="177"/>
      <c r="G1037" s="177"/>
    </row>
    <row r="1038" spans="1:7" x14ac:dyDescent="0.3">
      <c r="A1038" s="182" t="s">
        <v>1570</v>
      </c>
      <c r="B1038" s="177"/>
      <c r="G1038" s="177"/>
    </row>
    <row r="1039" spans="1:7" x14ac:dyDescent="0.3">
      <c r="A1039" s="182" t="s">
        <v>1571</v>
      </c>
      <c r="B1039" s="177"/>
      <c r="G1039" s="177"/>
    </row>
    <row r="1040" spans="1:7" x14ac:dyDescent="0.3">
      <c r="A1040" s="182" t="s">
        <v>1572</v>
      </c>
      <c r="B1040" s="177"/>
      <c r="G1040" s="177"/>
    </row>
    <row r="1041" spans="1:7" x14ac:dyDescent="0.3">
      <c r="A1041" s="182" t="s">
        <v>1573</v>
      </c>
      <c r="B1041" s="177"/>
      <c r="G1041" s="177"/>
    </row>
    <row r="1042" spans="1:7" x14ac:dyDescent="0.3">
      <c r="A1042" s="182" t="s">
        <v>1574</v>
      </c>
      <c r="B1042" s="177"/>
      <c r="G1042" s="177"/>
    </row>
    <row r="1043" spans="1:7" x14ac:dyDescent="0.3">
      <c r="A1043" s="182" t="s">
        <v>1575</v>
      </c>
      <c r="B1043" s="177"/>
      <c r="G1043" s="177"/>
    </row>
    <row r="1044" spans="1:7" x14ac:dyDescent="0.3">
      <c r="A1044" s="182" t="s">
        <v>1576</v>
      </c>
      <c r="B1044" s="177"/>
      <c r="G1044" s="177"/>
    </row>
    <row r="1045" spans="1:7" x14ac:dyDescent="0.3">
      <c r="A1045" s="182" t="s">
        <v>1577</v>
      </c>
      <c r="B1045" s="177"/>
      <c r="G1045" s="177"/>
    </row>
    <row r="1046" spans="1:7" x14ac:dyDescent="0.3">
      <c r="A1046" s="182" t="s">
        <v>1578</v>
      </c>
      <c r="B1046" s="177"/>
      <c r="G1046" s="177"/>
    </row>
    <row r="1047" spans="1:7" x14ac:dyDescent="0.3">
      <c r="A1047" s="182" t="s">
        <v>1579</v>
      </c>
      <c r="B1047" s="177"/>
      <c r="G1047" s="177"/>
    </row>
    <row r="1048" spans="1:7" x14ac:dyDescent="0.3">
      <c r="A1048" s="182" t="s">
        <v>1580</v>
      </c>
      <c r="B1048" s="177"/>
      <c r="G1048" s="177"/>
    </row>
    <row r="1049" spans="1:7" x14ac:dyDescent="0.3">
      <c r="A1049" s="182" t="s">
        <v>1581</v>
      </c>
      <c r="B1049" s="177"/>
      <c r="G1049" s="177"/>
    </row>
    <row r="1050" spans="1:7" x14ac:dyDescent="0.3">
      <c r="A1050" s="182" t="s">
        <v>1582</v>
      </c>
      <c r="B1050" s="177"/>
      <c r="G1050" s="177"/>
    </row>
    <row r="1051" spans="1:7" x14ac:dyDescent="0.3">
      <c r="A1051" s="182" t="s">
        <v>1583</v>
      </c>
      <c r="B1051" s="177"/>
      <c r="G1051" s="177"/>
    </row>
    <row r="1052" spans="1:7" x14ac:dyDescent="0.3">
      <c r="A1052" s="197" t="s">
        <v>1584</v>
      </c>
      <c r="B1052" s="177"/>
      <c r="G1052" s="177"/>
    </row>
    <row r="1053" spans="1:7" x14ac:dyDescent="0.3">
      <c r="A1053" s="182" t="s">
        <v>1585</v>
      </c>
      <c r="B1053" s="177"/>
      <c r="G1053" s="177"/>
    </row>
    <row r="1054" spans="1:7" x14ac:dyDescent="0.3">
      <c r="A1054" s="182" t="s">
        <v>1586</v>
      </c>
      <c r="B1054" s="177"/>
      <c r="G1054" s="177"/>
    </row>
    <row r="1055" spans="1:7" x14ac:dyDescent="0.3">
      <c r="A1055" s="182" t="s">
        <v>1587</v>
      </c>
      <c r="B1055" s="177"/>
      <c r="G1055" s="177"/>
    </row>
    <row r="1056" spans="1:7" x14ac:dyDescent="0.3">
      <c r="A1056" s="182" t="s">
        <v>1588</v>
      </c>
      <c r="B1056" s="177"/>
      <c r="G1056" s="177"/>
    </row>
    <row r="1057" spans="1:7" x14ac:dyDescent="0.3">
      <c r="A1057" s="182" t="s">
        <v>1589</v>
      </c>
      <c r="B1057" s="177"/>
      <c r="G1057" s="177"/>
    </row>
    <row r="1058" spans="1:7" x14ac:dyDescent="0.3">
      <c r="A1058" s="182" t="s">
        <v>1590</v>
      </c>
      <c r="B1058" s="177"/>
      <c r="G1058" s="177"/>
    </row>
    <row r="1059" spans="1:7" x14ac:dyDescent="0.3">
      <c r="A1059" s="182" t="s">
        <v>1591</v>
      </c>
      <c r="B1059" s="177"/>
      <c r="G1059" s="177"/>
    </row>
    <row r="1060" spans="1:7" x14ac:dyDescent="0.3">
      <c r="A1060" s="182" t="s">
        <v>1592</v>
      </c>
      <c r="B1060" s="177"/>
      <c r="G1060" s="177"/>
    </row>
    <row r="1061" spans="1:7" x14ac:dyDescent="0.3">
      <c r="A1061" s="182" t="s">
        <v>1593</v>
      </c>
      <c r="B1061" s="177"/>
      <c r="G1061" s="177"/>
    </row>
    <row r="1062" spans="1:7" x14ac:dyDescent="0.3">
      <c r="A1062" s="182" t="s">
        <v>1594</v>
      </c>
      <c r="B1062" s="177"/>
      <c r="G1062" s="177"/>
    </row>
    <row r="1063" spans="1:7" x14ac:dyDescent="0.3">
      <c r="A1063" s="182" t="s">
        <v>1595</v>
      </c>
      <c r="B1063" s="177"/>
      <c r="G1063" s="177"/>
    </row>
    <row r="1064" spans="1:7" x14ac:dyDescent="0.3">
      <c r="A1064" s="182" t="s">
        <v>1596</v>
      </c>
      <c r="B1064" s="177"/>
      <c r="G1064" s="177"/>
    </row>
    <row r="1065" spans="1:7" x14ac:dyDescent="0.3">
      <c r="A1065" s="182" t="s">
        <v>1597</v>
      </c>
      <c r="B1065" s="177"/>
      <c r="G1065" s="177"/>
    </row>
    <row r="1066" spans="1:7" x14ac:dyDescent="0.3">
      <c r="A1066" s="182" t="s">
        <v>1598</v>
      </c>
      <c r="B1066" s="177"/>
      <c r="G1066" s="177"/>
    </row>
    <row r="1067" spans="1:7" x14ac:dyDescent="0.3">
      <c r="A1067" s="182" t="s">
        <v>1599</v>
      </c>
      <c r="B1067" s="177"/>
      <c r="G1067" s="177"/>
    </row>
    <row r="1068" spans="1:7" x14ac:dyDescent="0.3">
      <c r="A1068" s="182" t="s">
        <v>1600</v>
      </c>
      <c r="B1068" s="177"/>
      <c r="G1068" s="177"/>
    </row>
    <row r="1069" spans="1:7" x14ac:dyDescent="0.3">
      <c r="A1069" s="182" t="s">
        <v>1601</v>
      </c>
      <c r="B1069" s="177"/>
      <c r="G1069" s="177"/>
    </row>
    <row r="1070" spans="1:7" x14ac:dyDescent="0.3">
      <c r="A1070" s="182" t="s">
        <v>1602</v>
      </c>
      <c r="B1070" s="177"/>
      <c r="G1070" s="177"/>
    </row>
    <row r="1071" spans="1:7" x14ac:dyDescent="0.3">
      <c r="A1071" s="182" t="s">
        <v>1603</v>
      </c>
      <c r="B1071" s="177"/>
      <c r="G1071" s="177"/>
    </row>
    <row r="1072" spans="1:7" x14ac:dyDescent="0.3">
      <c r="A1072" s="182" t="s">
        <v>1604</v>
      </c>
      <c r="B1072" s="177"/>
      <c r="G1072" s="177"/>
    </row>
    <row r="1073" spans="1:7" x14ac:dyDescent="0.3">
      <c r="A1073" s="182" t="s">
        <v>1605</v>
      </c>
      <c r="B1073" s="177"/>
      <c r="G1073" s="177"/>
    </row>
    <row r="1074" spans="1:7" x14ac:dyDescent="0.3">
      <c r="A1074" s="182" t="s">
        <v>1606</v>
      </c>
      <c r="B1074" s="177"/>
      <c r="G1074" s="177"/>
    </row>
    <row r="1075" spans="1:7" x14ac:dyDescent="0.3">
      <c r="A1075" s="182" t="s">
        <v>1607</v>
      </c>
      <c r="B1075" s="177"/>
      <c r="G1075" s="177"/>
    </row>
    <row r="1076" spans="1:7" x14ac:dyDescent="0.3">
      <c r="A1076" s="182" t="s">
        <v>1608</v>
      </c>
      <c r="B1076" s="177"/>
      <c r="G1076" s="177"/>
    </row>
    <row r="1077" spans="1:7" x14ac:dyDescent="0.3">
      <c r="A1077" s="182" t="s">
        <v>1609</v>
      </c>
      <c r="B1077" s="177"/>
      <c r="G1077" s="177"/>
    </row>
    <row r="1078" spans="1:7" x14ac:dyDescent="0.3">
      <c r="A1078" s="182" t="s">
        <v>1610</v>
      </c>
      <c r="B1078" s="177"/>
      <c r="G1078" s="177"/>
    </row>
    <row r="1079" spans="1:7" x14ac:dyDescent="0.3">
      <c r="A1079" s="182" t="s">
        <v>1611</v>
      </c>
      <c r="B1079" s="177"/>
      <c r="G1079" s="177"/>
    </row>
    <row r="1080" spans="1:7" x14ac:dyDescent="0.3">
      <c r="A1080" s="182" t="s">
        <v>1612</v>
      </c>
      <c r="B1080" s="177"/>
      <c r="G1080" s="177"/>
    </row>
    <row r="1081" spans="1:7" x14ac:dyDescent="0.3">
      <c r="A1081" s="182" t="s">
        <v>1613</v>
      </c>
      <c r="B1081" s="177"/>
      <c r="G1081" s="177"/>
    </row>
    <row r="1082" spans="1:7" x14ac:dyDescent="0.3">
      <c r="A1082" s="182" t="s">
        <v>1614</v>
      </c>
      <c r="B1082" s="177"/>
      <c r="G1082" s="177"/>
    </row>
    <row r="1083" spans="1:7" x14ac:dyDescent="0.3">
      <c r="A1083" s="182" t="s">
        <v>1615</v>
      </c>
      <c r="B1083" s="177"/>
      <c r="G1083" s="177"/>
    </row>
    <row r="1084" spans="1:7" x14ac:dyDescent="0.3">
      <c r="A1084" s="182" t="s">
        <v>1616</v>
      </c>
      <c r="B1084" s="177"/>
      <c r="G1084" s="177"/>
    </row>
    <row r="1085" spans="1:7" x14ac:dyDescent="0.3">
      <c r="A1085" s="182" t="s">
        <v>1617</v>
      </c>
      <c r="B1085" s="177"/>
      <c r="G1085" s="177"/>
    </row>
    <row r="1086" spans="1:7" x14ac:dyDescent="0.3">
      <c r="A1086" s="182" t="s">
        <v>1618</v>
      </c>
      <c r="B1086" s="177"/>
      <c r="G1086" s="177"/>
    </row>
    <row r="1087" spans="1:7" x14ac:dyDescent="0.3">
      <c r="A1087" s="182" t="s">
        <v>1619</v>
      </c>
      <c r="B1087" s="177"/>
      <c r="G1087" s="177"/>
    </row>
    <row r="1088" spans="1:7" x14ac:dyDescent="0.3">
      <c r="A1088" s="182" t="s">
        <v>1620</v>
      </c>
      <c r="B1088" s="177"/>
      <c r="G1088" s="177"/>
    </row>
    <row r="1089" spans="1:7" x14ac:dyDescent="0.3">
      <c r="A1089" s="182" t="s">
        <v>1621</v>
      </c>
      <c r="B1089" s="177"/>
      <c r="G1089" s="177"/>
    </row>
    <row r="1090" spans="1:7" x14ac:dyDescent="0.3">
      <c r="A1090" s="182" t="s">
        <v>1622</v>
      </c>
      <c r="B1090" s="177"/>
      <c r="G1090" s="177"/>
    </row>
    <row r="1091" spans="1:7" x14ac:dyDescent="0.3">
      <c r="A1091" s="182" t="s">
        <v>1623</v>
      </c>
      <c r="B1091" s="177"/>
      <c r="G1091" s="177"/>
    </row>
    <row r="1092" spans="1:7" x14ac:dyDescent="0.3">
      <c r="A1092" s="182" t="s">
        <v>1624</v>
      </c>
      <c r="B1092" s="177"/>
      <c r="G1092" s="177"/>
    </row>
    <row r="1093" spans="1:7" x14ac:dyDescent="0.3">
      <c r="A1093" s="182" t="s">
        <v>1625</v>
      </c>
      <c r="B1093" s="177"/>
      <c r="G1093" s="177"/>
    </row>
    <row r="1094" spans="1:7" x14ac:dyDescent="0.3">
      <c r="A1094" s="182" t="s">
        <v>1626</v>
      </c>
      <c r="B1094" s="177"/>
      <c r="G1094" s="177"/>
    </row>
    <row r="1095" spans="1:7" x14ac:dyDescent="0.3">
      <c r="A1095" s="182" t="s">
        <v>1627</v>
      </c>
      <c r="B1095" s="177"/>
      <c r="G1095" s="177"/>
    </row>
    <row r="1096" spans="1:7" x14ac:dyDescent="0.3">
      <c r="A1096" s="182" t="s">
        <v>1628</v>
      </c>
      <c r="B1096" s="177"/>
      <c r="G1096" s="177"/>
    </row>
    <row r="1097" spans="1:7" x14ac:dyDescent="0.3">
      <c r="A1097" s="182" t="s">
        <v>1629</v>
      </c>
      <c r="B1097" s="177"/>
      <c r="G1097" s="177"/>
    </row>
    <row r="1098" spans="1:7" x14ac:dyDescent="0.3">
      <c r="A1098" s="182" t="s">
        <v>1630</v>
      </c>
      <c r="B1098" s="177"/>
      <c r="G1098" s="177"/>
    </row>
    <row r="1099" spans="1:7" x14ac:dyDescent="0.3">
      <c r="A1099" s="182" t="s">
        <v>1631</v>
      </c>
      <c r="B1099" s="177"/>
      <c r="G1099" s="177"/>
    </row>
    <row r="1100" spans="1:7" x14ac:dyDescent="0.3">
      <c r="A1100" s="182" t="s">
        <v>1632</v>
      </c>
      <c r="B1100" s="177"/>
      <c r="G1100" s="177"/>
    </row>
    <row r="1101" spans="1:7" x14ac:dyDescent="0.3">
      <c r="A1101" s="182" t="s">
        <v>1633</v>
      </c>
      <c r="B1101" s="177"/>
      <c r="G1101" s="177"/>
    </row>
    <row r="1102" spans="1:7" x14ac:dyDescent="0.3">
      <c r="A1102" s="182" t="s">
        <v>1634</v>
      </c>
      <c r="B1102" s="177"/>
      <c r="G1102" s="177"/>
    </row>
    <row r="1103" spans="1:7" x14ac:dyDescent="0.3">
      <c r="A1103" s="182" t="s">
        <v>1635</v>
      </c>
      <c r="B1103" s="177"/>
      <c r="G1103" s="177"/>
    </row>
    <row r="1104" spans="1:7" x14ac:dyDescent="0.3">
      <c r="A1104" s="182" t="s">
        <v>1636</v>
      </c>
      <c r="B1104" s="177"/>
      <c r="G1104" s="177"/>
    </row>
    <row r="1105" spans="1:7" x14ac:dyDescent="0.3">
      <c r="A1105" s="182" t="s">
        <v>1637</v>
      </c>
      <c r="B1105" s="177"/>
      <c r="G1105" s="177"/>
    </row>
    <row r="1106" spans="1:7" x14ac:dyDescent="0.3">
      <c r="A1106" s="182" t="s">
        <v>1638</v>
      </c>
      <c r="B1106" s="177"/>
      <c r="G1106" s="177"/>
    </row>
    <row r="1107" spans="1:7" x14ac:dyDescent="0.3">
      <c r="A1107" s="182" t="s">
        <v>1639</v>
      </c>
      <c r="B1107" s="177"/>
      <c r="G1107" s="177"/>
    </row>
    <row r="1108" spans="1:7" x14ac:dyDescent="0.3">
      <c r="A1108" s="182" t="s">
        <v>1640</v>
      </c>
      <c r="B1108" s="177"/>
      <c r="G1108" s="177"/>
    </row>
    <row r="1109" spans="1:7" x14ac:dyDescent="0.3">
      <c r="A1109" s="182" t="s">
        <v>1641</v>
      </c>
      <c r="B1109" s="177"/>
      <c r="G1109" s="177"/>
    </row>
    <row r="1110" spans="1:7" x14ac:dyDescent="0.3">
      <c r="A1110" s="182" t="s">
        <v>1642</v>
      </c>
      <c r="B1110" s="177"/>
      <c r="G1110" s="177"/>
    </row>
    <row r="1111" spans="1:7" x14ac:dyDescent="0.3">
      <c r="A1111" s="182" t="s">
        <v>1643</v>
      </c>
      <c r="B1111" s="177"/>
      <c r="G1111" s="177"/>
    </row>
    <row r="1112" spans="1:7" x14ac:dyDescent="0.3">
      <c r="A1112" s="182" t="s">
        <v>1644</v>
      </c>
      <c r="B1112" s="177"/>
      <c r="G1112" s="177"/>
    </row>
    <row r="1113" spans="1:7" x14ac:dyDescent="0.3">
      <c r="A1113" s="182" t="s">
        <v>1645</v>
      </c>
      <c r="B1113" s="177"/>
      <c r="G1113" s="177"/>
    </row>
    <row r="1114" spans="1:7" x14ac:dyDescent="0.3">
      <c r="A1114" s="182" t="s">
        <v>1646</v>
      </c>
      <c r="B1114" s="177"/>
      <c r="G1114" s="177"/>
    </row>
    <row r="1115" spans="1:7" x14ac:dyDescent="0.3">
      <c r="A1115" s="182" t="s">
        <v>1647</v>
      </c>
      <c r="B1115" s="177"/>
      <c r="G1115" s="177"/>
    </row>
    <row r="1116" spans="1:7" x14ac:dyDescent="0.3">
      <c r="A1116" s="182" t="s">
        <v>1648</v>
      </c>
      <c r="B1116" s="177"/>
      <c r="G1116" s="177"/>
    </row>
    <row r="1117" spans="1:7" x14ac:dyDescent="0.3">
      <c r="A1117" s="182" t="s">
        <v>1649</v>
      </c>
      <c r="B1117" s="177"/>
      <c r="G1117" s="177"/>
    </row>
    <row r="1118" spans="1:7" x14ac:dyDescent="0.3">
      <c r="A1118" s="182" t="s">
        <v>1650</v>
      </c>
      <c r="B1118" s="177"/>
      <c r="G1118" s="177"/>
    </row>
    <row r="1119" spans="1:7" x14ac:dyDescent="0.3">
      <c r="A1119" s="182" t="s">
        <v>1651</v>
      </c>
      <c r="B1119" s="177"/>
      <c r="G1119" s="177"/>
    </row>
    <row r="1120" spans="1:7" x14ac:dyDescent="0.3">
      <c r="A1120" s="182" t="s">
        <v>1652</v>
      </c>
      <c r="B1120" s="177"/>
      <c r="G1120" s="177"/>
    </row>
    <row r="1121" spans="1:7" x14ac:dyDescent="0.3">
      <c r="A1121" s="182" t="s">
        <v>1653</v>
      </c>
      <c r="B1121" s="177"/>
      <c r="G1121" s="177"/>
    </row>
    <row r="1122" spans="1:7" x14ac:dyDescent="0.3">
      <c r="A1122" s="182" t="s">
        <v>1654</v>
      </c>
      <c r="B1122" s="177"/>
      <c r="G1122" s="177"/>
    </row>
    <row r="1123" spans="1:7" x14ac:dyDescent="0.3">
      <c r="A1123" s="182" t="s">
        <v>1655</v>
      </c>
      <c r="B1123" s="177"/>
      <c r="G1123" s="177"/>
    </row>
    <row r="1124" spans="1:7" x14ac:dyDescent="0.3">
      <c r="A1124" s="182" t="s">
        <v>1656</v>
      </c>
      <c r="B1124" s="177"/>
      <c r="G1124" s="177"/>
    </row>
    <row r="1125" spans="1:7" x14ac:dyDescent="0.3">
      <c r="A1125" s="182" t="s">
        <v>1657</v>
      </c>
      <c r="B1125" s="177"/>
      <c r="G1125" s="177"/>
    </row>
    <row r="1126" spans="1:7" x14ac:dyDescent="0.3">
      <c r="A1126" s="182" t="s">
        <v>1658</v>
      </c>
      <c r="B1126" s="177"/>
      <c r="G1126" s="177"/>
    </row>
    <row r="1127" spans="1:7" x14ac:dyDescent="0.3">
      <c r="A1127" s="182" t="s">
        <v>1659</v>
      </c>
      <c r="B1127" s="177"/>
      <c r="G1127" s="177"/>
    </row>
    <row r="1128" spans="1:7" x14ac:dyDescent="0.3">
      <c r="A1128" s="182" t="s">
        <v>1660</v>
      </c>
      <c r="B1128" s="177"/>
      <c r="G1128" s="177"/>
    </row>
    <row r="1129" spans="1:7" x14ac:dyDescent="0.3">
      <c r="A1129" s="182" t="s">
        <v>1661</v>
      </c>
      <c r="B1129" s="177"/>
      <c r="G1129" s="177"/>
    </row>
    <row r="1130" spans="1:7" x14ac:dyDescent="0.3">
      <c r="A1130" s="182" t="s">
        <v>1662</v>
      </c>
      <c r="B1130" s="177"/>
      <c r="G1130" s="177"/>
    </row>
    <row r="1131" spans="1:7" x14ac:dyDescent="0.3">
      <c r="A1131" s="182" t="s">
        <v>1663</v>
      </c>
      <c r="B1131" s="177"/>
      <c r="G1131" s="177"/>
    </row>
    <row r="1132" spans="1:7" x14ac:dyDescent="0.3">
      <c r="A1132" s="182" t="s">
        <v>1664</v>
      </c>
      <c r="B1132" s="177"/>
      <c r="G1132" s="177"/>
    </row>
    <row r="1133" spans="1:7" x14ac:dyDescent="0.3">
      <c r="A1133" s="182" t="s">
        <v>1665</v>
      </c>
      <c r="B1133" s="177"/>
      <c r="G1133" s="177"/>
    </row>
    <row r="1134" spans="1:7" x14ac:dyDescent="0.3">
      <c r="A1134" s="182" t="s">
        <v>1666</v>
      </c>
      <c r="B1134" s="177"/>
      <c r="G1134" s="177"/>
    </row>
    <row r="1135" spans="1:7" x14ac:dyDescent="0.3">
      <c r="A1135" s="182" t="s">
        <v>1667</v>
      </c>
      <c r="B1135" s="177"/>
      <c r="G1135" s="177"/>
    </row>
    <row r="1136" spans="1:7" x14ac:dyDescent="0.3">
      <c r="A1136" s="182" t="s">
        <v>1668</v>
      </c>
      <c r="B1136" s="177"/>
      <c r="G1136" s="177"/>
    </row>
    <row r="1137" spans="1:7" x14ac:dyDescent="0.3">
      <c r="A1137" s="182" t="s">
        <v>1669</v>
      </c>
      <c r="B1137" s="177"/>
      <c r="G1137" s="177"/>
    </row>
    <row r="1138" spans="1:7" x14ac:dyDescent="0.3">
      <c r="A1138" s="182" t="s">
        <v>1670</v>
      </c>
      <c r="B1138" s="177"/>
      <c r="G1138" s="177"/>
    </row>
    <row r="1139" spans="1:7" x14ac:dyDescent="0.3">
      <c r="A1139" s="182" t="s">
        <v>1671</v>
      </c>
      <c r="B1139" s="177"/>
      <c r="G1139" s="177"/>
    </row>
    <row r="1140" spans="1:7" x14ac:dyDescent="0.3">
      <c r="A1140" s="182" t="s">
        <v>1672</v>
      </c>
      <c r="B1140" s="177"/>
      <c r="G1140" s="177"/>
    </row>
    <row r="1141" spans="1:7" x14ac:dyDescent="0.3">
      <c r="A1141" s="182" t="s">
        <v>1673</v>
      </c>
      <c r="B1141" s="177"/>
      <c r="G1141" s="177"/>
    </row>
    <row r="1142" spans="1:7" x14ac:dyDescent="0.3">
      <c r="A1142" s="182" t="s">
        <v>1674</v>
      </c>
      <c r="B1142" s="177"/>
      <c r="G1142" s="177"/>
    </row>
    <row r="1143" spans="1:7" x14ac:dyDescent="0.3">
      <c r="A1143" s="182" t="s">
        <v>1675</v>
      </c>
      <c r="B1143" s="177"/>
      <c r="G1143" s="177"/>
    </row>
    <row r="1144" spans="1:7" x14ac:dyDescent="0.3">
      <c r="A1144" s="182" t="s">
        <v>1676</v>
      </c>
      <c r="B1144" s="177"/>
      <c r="G1144" s="177"/>
    </row>
    <row r="1145" spans="1:7" x14ac:dyDescent="0.3">
      <c r="A1145" s="182" t="s">
        <v>1677</v>
      </c>
      <c r="B1145" s="177"/>
      <c r="G1145" s="177"/>
    </row>
    <row r="1146" spans="1:7" x14ac:dyDescent="0.3">
      <c r="A1146" s="182" t="s">
        <v>1678</v>
      </c>
      <c r="B1146" s="177"/>
      <c r="G1146" s="177"/>
    </row>
    <row r="1147" spans="1:7" x14ac:dyDescent="0.3">
      <c r="A1147" s="182" t="s">
        <v>1679</v>
      </c>
      <c r="B1147" s="177"/>
      <c r="G1147" s="177"/>
    </row>
    <row r="1148" spans="1:7" x14ac:dyDescent="0.3">
      <c r="A1148" s="182" t="s">
        <v>1680</v>
      </c>
      <c r="B1148" s="177"/>
      <c r="G1148" s="177"/>
    </row>
    <row r="1149" spans="1:7" x14ac:dyDescent="0.3">
      <c r="A1149" s="182" t="s">
        <v>1681</v>
      </c>
      <c r="B1149" s="177"/>
      <c r="G1149" s="177"/>
    </row>
    <row r="1150" spans="1:7" x14ac:dyDescent="0.3">
      <c r="A1150" s="182" t="s">
        <v>1682</v>
      </c>
      <c r="B1150" s="177"/>
      <c r="G1150" s="177"/>
    </row>
    <row r="1151" spans="1:7" x14ac:dyDescent="0.3">
      <c r="A1151" s="182" t="s">
        <v>1683</v>
      </c>
      <c r="B1151" s="177"/>
      <c r="G1151" s="177"/>
    </row>
    <row r="1152" spans="1:7" x14ac:dyDescent="0.3">
      <c r="A1152" s="182" t="s">
        <v>1684</v>
      </c>
      <c r="B1152" s="177"/>
      <c r="G1152" s="177"/>
    </row>
    <row r="1153" spans="1:7" x14ac:dyDescent="0.3">
      <c r="A1153" s="182" t="s">
        <v>1685</v>
      </c>
      <c r="B1153" s="177"/>
      <c r="G1153" s="177"/>
    </row>
    <row r="1154" spans="1:7" x14ac:dyDescent="0.3">
      <c r="A1154" s="182" t="s">
        <v>1686</v>
      </c>
      <c r="B1154" s="177"/>
      <c r="G1154" s="177"/>
    </row>
    <row r="1155" spans="1:7" x14ac:dyDescent="0.3">
      <c r="A1155" s="182" t="s">
        <v>1687</v>
      </c>
      <c r="B1155" s="177"/>
      <c r="G1155" s="177"/>
    </row>
    <row r="1156" spans="1:7" x14ac:dyDescent="0.3">
      <c r="A1156" s="182" t="s">
        <v>1688</v>
      </c>
      <c r="B1156" s="177"/>
      <c r="G1156" s="177"/>
    </row>
    <row r="1157" spans="1:7" x14ac:dyDescent="0.3">
      <c r="A1157" s="182" t="s">
        <v>1689</v>
      </c>
      <c r="B1157" s="177"/>
      <c r="G1157" s="177"/>
    </row>
    <row r="1158" spans="1:7" x14ac:dyDescent="0.3">
      <c r="A1158" s="182" t="s">
        <v>1690</v>
      </c>
      <c r="B1158" s="177"/>
      <c r="G1158" s="177"/>
    </row>
    <row r="1159" spans="1:7" x14ac:dyDescent="0.3">
      <c r="A1159" s="182" t="s">
        <v>1691</v>
      </c>
      <c r="B1159" s="177"/>
      <c r="G1159" s="177"/>
    </row>
    <row r="1160" spans="1:7" x14ac:dyDescent="0.3">
      <c r="A1160" s="182" t="s">
        <v>1692</v>
      </c>
      <c r="B1160" s="177"/>
      <c r="G1160" s="177"/>
    </row>
    <row r="1161" spans="1:7" x14ac:dyDescent="0.3">
      <c r="A1161" s="182" t="s">
        <v>1693</v>
      </c>
      <c r="B1161" s="177"/>
      <c r="G1161" s="177"/>
    </row>
    <row r="1162" spans="1:7" x14ac:dyDescent="0.3">
      <c r="A1162" s="182" t="s">
        <v>1694</v>
      </c>
      <c r="B1162" s="177"/>
      <c r="G1162" s="177"/>
    </row>
    <row r="1163" spans="1:7" x14ac:dyDescent="0.3">
      <c r="A1163" s="182" t="s">
        <v>1695</v>
      </c>
      <c r="B1163" s="177"/>
      <c r="G1163" s="177"/>
    </row>
    <row r="1164" spans="1:7" x14ac:dyDescent="0.3">
      <c r="A1164" s="182" t="s">
        <v>1696</v>
      </c>
      <c r="B1164" s="177"/>
      <c r="G1164" s="177"/>
    </row>
    <row r="1165" spans="1:7" x14ac:dyDescent="0.3">
      <c r="A1165" s="182" t="s">
        <v>1697</v>
      </c>
      <c r="B1165" s="177"/>
      <c r="G1165" s="177"/>
    </row>
    <row r="1166" spans="1:7" x14ac:dyDescent="0.3">
      <c r="A1166" s="182" t="s">
        <v>1698</v>
      </c>
      <c r="B1166" s="177"/>
      <c r="G1166" s="177"/>
    </row>
    <row r="1167" spans="1:7" x14ac:dyDescent="0.3">
      <c r="A1167" s="182" t="s">
        <v>1699</v>
      </c>
      <c r="B1167" s="177"/>
      <c r="G1167" s="177"/>
    </row>
    <row r="1168" spans="1:7" x14ac:dyDescent="0.3">
      <c r="A1168" s="182" t="s">
        <v>1700</v>
      </c>
      <c r="B1168" s="177"/>
      <c r="G1168" s="177"/>
    </row>
    <row r="1169" spans="1:7" x14ac:dyDescent="0.3">
      <c r="A1169" s="182" t="s">
        <v>1701</v>
      </c>
      <c r="B1169" s="177"/>
      <c r="G1169" s="177"/>
    </row>
    <row r="1170" spans="1:7" x14ac:dyDescent="0.3">
      <c r="A1170" s="182" t="s">
        <v>1702</v>
      </c>
      <c r="B1170" s="177"/>
      <c r="G1170" s="177"/>
    </row>
    <row r="1171" spans="1:7" x14ac:dyDescent="0.3">
      <c r="A1171" s="182" t="s">
        <v>1703</v>
      </c>
      <c r="B1171" s="177"/>
      <c r="G1171" s="177"/>
    </row>
    <row r="1172" spans="1:7" x14ac:dyDescent="0.3">
      <c r="A1172" s="182" t="s">
        <v>1704</v>
      </c>
      <c r="B1172" s="177"/>
      <c r="G1172" s="177"/>
    </row>
    <row r="1173" spans="1:7" x14ac:dyDescent="0.3">
      <c r="A1173" s="182" t="s">
        <v>1705</v>
      </c>
      <c r="B1173" s="177"/>
      <c r="G1173" s="177"/>
    </row>
    <row r="1174" spans="1:7" x14ac:dyDescent="0.3">
      <c r="A1174" s="182" t="s">
        <v>1706</v>
      </c>
      <c r="B1174" s="177"/>
      <c r="G1174" s="177"/>
    </row>
    <row r="1175" spans="1:7" x14ac:dyDescent="0.3">
      <c r="A1175" s="182" t="s">
        <v>1707</v>
      </c>
      <c r="B1175" s="177"/>
      <c r="G1175" s="177"/>
    </row>
    <row r="1176" spans="1:7" x14ac:dyDescent="0.3">
      <c r="A1176" s="182" t="s">
        <v>1708</v>
      </c>
      <c r="B1176" s="177"/>
      <c r="G1176" s="177"/>
    </row>
    <row r="1177" spans="1:7" x14ac:dyDescent="0.3">
      <c r="A1177" s="182" t="s">
        <v>1709</v>
      </c>
      <c r="B1177" s="177"/>
      <c r="G1177" s="177"/>
    </row>
    <row r="1178" spans="1:7" x14ac:dyDescent="0.3">
      <c r="A1178" s="182" t="s">
        <v>1710</v>
      </c>
      <c r="B1178" s="177"/>
      <c r="G1178" s="177"/>
    </row>
    <row r="1179" spans="1:7" x14ac:dyDescent="0.3">
      <c r="A1179" s="182" t="s">
        <v>1711</v>
      </c>
      <c r="B1179" s="177"/>
      <c r="G1179" s="177"/>
    </row>
    <row r="1180" spans="1:7" x14ac:dyDescent="0.3">
      <c r="A1180" s="182" t="s">
        <v>1712</v>
      </c>
      <c r="B1180" s="177"/>
      <c r="G1180" s="177"/>
    </row>
    <row r="1181" spans="1:7" x14ac:dyDescent="0.3">
      <c r="A1181" s="182" t="s">
        <v>1713</v>
      </c>
      <c r="B1181" s="177"/>
      <c r="G1181" s="177"/>
    </row>
    <row r="1182" spans="1:7" x14ac:dyDescent="0.3">
      <c r="A1182" s="182" t="s">
        <v>1714</v>
      </c>
      <c r="B1182" s="177"/>
      <c r="G1182" s="177"/>
    </row>
    <row r="1183" spans="1:7" x14ac:dyDescent="0.3">
      <c r="A1183" s="182" t="s">
        <v>1715</v>
      </c>
      <c r="B1183" s="177"/>
      <c r="G1183" s="177"/>
    </row>
    <row r="1184" spans="1:7" x14ac:dyDescent="0.3">
      <c r="A1184" s="182" t="s">
        <v>1716</v>
      </c>
      <c r="B1184" s="177"/>
      <c r="G1184" s="177"/>
    </row>
    <row r="1185" spans="1:7" x14ac:dyDescent="0.3">
      <c r="A1185" s="182" t="s">
        <v>1717</v>
      </c>
      <c r="B1185" s="177"/>
      <c r="G1185" s="177"/>
    </row>
    <row r="1186" spans="1:7" x14ac:dyDescent="0.3">
      <c r="A1186" s="182" t="s">
        <v>1718</v>
      </c>
      <c r="B1186" s="177"/>
      <c r="G1186" s="177"/>
    </row>
    <row r="1187" spans="1:7" x14ac:dyDescent="0.3">
      <c r="A1187" s="182" t="s">
        <v>1719</v>
      </c>
      <c r="B1187" s="177"/>
      <c r="G1187" s="177"/>
    </row>
    <row r="1188" spans="1:7" x14ac:dyDescent="0.3">
      <c r="A1188" s="182" t="s">
        <v>1720</v>
      </c>
      <c r="B1188" s="177"/>
      <c r="G1188" s="177"/>
    </row>
    <row r="1189" spans="1:7" x14ac:dyDescent="0.3">
      <c r="A1189" s="182" t="s">
        <v>1721</v>
      </c>
      <c r="B1189" s="177"/>
      <c r="G1189" s="177"/>
    </row>
    <row r="1190" spans="1:7" x14ac:dyDescent="0.3">
      <c r="A1190" s="182" t="s">
        <v>1722</v>
      </c>
      <c r="B1190" s="177"/>
      <c r="G1190" s="177"/>
    </row>
    <row r="1191" spans="1:7" x14ac:dyDescent="0.3">
      <c r="A1191" s="182" t="s">
        <v>1723</v>
      </c>
      <c r="B1191" s="177"/>
      <c r="G1191" s="177"/>
    </row>
    <row r="1192" spans="1:7" x14ac:dyDescent="0.3">
      <c r="A1192" s="182" t="s">
        <v>1724</v>
      </c>
      <c r="B1192" s="177"/>
      <c r="G1192" s="177"/>
    </row>
    <row r="1193" spans="1:7" x14ac:dyDescent="0.3">
      <c r="A1193" s="182" t="s">
        <v>1725</v>
      </c>
      <c r="B1193" s="177"/>
      <c r="G1193" s="177"/>
    </row>
    <row r="1194" spans="1:7" x14ac:dyDescent="0.3">
      <c r="A1194" s="182" t="s">
        <v>1726</v>
      </c>
      <c r="B1194" s="177"/>
      <c r="G1194" s="177"/>
    </row>
    <row r="1195" spans="1:7" x14ac:dyDescent="0.3">
      <c r="A1195" s="182" t="s">
        <v>1727</v>
      </c>
      <c r="B1195" s="177"/>
      <c r="G1195" s="177"/>
    </row>
    <row r="1196" spans="1:7" x14ac:dyDescent="0.3">
      <c r="A1196" s="182" t="s">
        <v>1728</v>
      </c>
      <c r="B1196" s="177"/>
      <c r="G1196" s="177"/>
    </row>
    <row r="1197" spans="1:7" x14ac:dyDescent="0.3">
      <c r="A1197" s="182" t="s">
        <v>1729</v>
      </c>
      <c r="B1197" s="177"/>
      <c r="G1197" s="177"/>
    </row>
    <row r="1198" spans="1:7" x14ac:dyDescent="0.3">
      <c r="A1198" s="182" t="s">
        <v>1730</v>
      </c>
      <c r="B1198" s="177"/>
      <c r="G1198" s="177"/>
    </row>
    <row r="1199" spans="1:7" x14ac:dyDescent="0.3">
      <c r="A1199" s="182" t="s">
        <v>1731</v>
      </c>
      <c r="B1199" s="177"/>
      <c r="G1199" s="177"/>
    </row>
    <row r="1200" spans="1:7" x14ac:dyDescent="0.3">
      <c r="A1200" s="182" t="s">
        <v>1732</v>
      </c>
      <c r="B1200" s="177"/>
      <c r="G1200" s="177"/>
    </row>
    <row r="1201" spans="1:7" x14ac:dyDescent="0.3">
      <c r="A1201" s="182" t="s">
        <v>1733</v>
      </c>
      <c r="B1201" s="177"/>
      <c r="G1201" s="177"/>
    </row>
    <row r="1202" spans="1:7" x14ac:dyDescent="0.3">
      <c r="A1202" s="182" t="s">
        <v>1734</v>
      </c>
      <c r="B1202" s="177"/>
      <c r="G1202" s="177"/>
    </row>
    <row r="1203" spans="1:7" x14ac:dyDescent="0.3">
      <c r="A1203" s="182" t="s">
        <v>1735</v>
      </c>
      <c r="B1203" s="177"/>
      <c r="G1203" s="177"/>
    </row>
    <row r="1204" spans="1:7" x14ac:dyDescent="0.3">
      <c r="A1204" s="182" t="s">
        <v>1736</v>
      </c>
      <c r="B1204" s="177"/>
      <c r="G1204" s="177"/>
    </row>
    <row r="1205" spans="1:7" x14ac:dyDescent="0.3">
      <c r="A1205" s="182" t="s">
        <v>1737</v>
      </c>
      <c r="B1205" s="177"/>
      <c r="G1205" s="177"/>
    </row>
    <row r="1206" spans="1:7" x14ac:dyDescent="0.3">
      <c r="A1206" s="182" t="s">
        <v>1738</v>
      </c>
      <c r="B1206" s="177"/>
      <c r="G1206" s="177"/>
    </row>
    <row r="1207" spans="1:7" x14ac:dyDescent="0.3">
      <c r="A1207" s="182" t="s">
        <v>1739</v>
      </c>
      <c r="B1207" s="177"/>
      <c r="G1207" s="177"/>
    </row>
    <row r="1208" spans="1:7" x14ac:dyDescent="0.3">
      <c r="A1208" s="182" t="s">
        <v>1740</v>
      </c>
      <c r="B1208" s="177"/>
      <c r="G1208" s="177"/>
    </row>
    <row r="1209" spans="1:7" x14ac:dyDescent="0.3">
      <c r="A1209" s="182" t="s">
        <v>1741</v>
      </c>
      <c r="B1209" s="177"/>
      <c r="G1209" s="177"/>
    </row>
    <row r="1210" spans="1:7" x14ac:dyDescent="0.3">
      <c r="A1210" s="182" t="s">
        <v>1742</v>
      </c>
      <c r="B1210" s="177"/>
      <c r="G1210" s="177"/>
    </row>
    <row r="1211" spans="1:7" x14ac:dyDescent="0.3">
      <c r="A1211" s="182" t="s">
        <v>1743</v>
      </c>
      <c r="B1211" s="177"/>
      <c r="G1211" s="177"/>
    </row>
    <row r="1212" spans="1:7" x14ac:dyDescent="0.3">
      <c r="A1212" s="182" t="s">
        <v>1744</v>
      </c>
      <c r="B1212" s="177"/>
      <c r="G1212" s="177"/>
    </row>
    <row r="1213" spans="1:7" x14ac:dyDescent="0.3">
      <c r="A1213" s="182" t="s">
        <v>1745</v>
      </c>
      <c r="B1213" s="177"/>
      <c r="G1213" s="177"/>
    </row>
    <row r="1214" spans="1:7" x14ac:dyDescent="0.3">
      <c r="A1214" s="182" t="s">
        <v>1746</v>
      </c>
      <c r="B1214" s="177"/>
      <c r="G1214" s="177"/>
    </row>
    <row r="1215" spans="1:7" x14ac:dyDescent="0.3">
      <c r="A1215" s="182" t="s">
        <v>1747</v>
      </c>
      <c r="B1215" s="177"/>
      <c r="G1215" s="177"/>
    </row>
    <row r="1216" spans="1:7" x14ac:dyDescent="0.3">
      <c r="A1216" s="182" t="s">
        <v>1748</v>
      </c>
      <c r="B1216" s="177"/>
      <c r="G1216" s="177"/>
    </row>
    <row r="1217" spans="1:7" x14ac:dyDescent="0.3">
      <c r="A1217" s="182" t="s">
        <v>1749</v>
      </c>
      <c r="B1217" s="177"/>
      <c r="G1217" s="177"/>
    </row>
    <row r="1218" spans="1:7" x14ac:dyDescent="0.3">
      <c r="A1218" s="182" t="s">
        <v>1750</v>
      </c>
      <c r="B1218" s="177"/>
      <c r="G1218" s="177"/>
    </row>
    <row r="1219" spans="1:7" x14ac:dyDescent="0.3">
      <c r="A1219" s="182" t="s">
        <v>1751</v>
      </c>
      <c r="B1219" s="177"/>
      <c r="G1219" s="177"/>
    </row>
    <row r="1220" spans="1:7" x14ac:dyDescent="0.3">
      <c r="A1220" s="182" t="s">
        <v>1752</v>
      </c>
      <c r="B1220" s="177"/>
      <c r="G1220" s="177"/>
    </row>
    <row r="1221" spans="1:7" x14ac:dyDescent="0.3">
      <c r="A1221" s="182" t="s">
        <v>1753</v>
      </c>
      <c r="B1221" s="177"/>
      <c r="G1221" s="177"/>
    </row>
    <row r="1222" spans="1:7" x14ac:dyDescent="0.3">
      <c r="A1222" s="182" t="s">
        <v>1754</v>
      </c>
      <c r="B1222" s="177"/>
      <c r="G1222" s="177"/>
    </row>
    <row r="1223" spans="1:7" x14ac:dyDescent="0.3">
      <c r="A1223" s="182" t="s">
        <v>1755</v>
      </c>
      <c r="B1223" s="177"/>
      <c r="G1223" s="177"/>
    </row>
    <row r="1224" spans="1:7" x14ac:dyDescent="0.3">
      <c r="A1224" s="182" t="s">
        <v>1756</v>
      </c>
      <c r="B1224" s="177"/>
      <c r="G1224" s="177"/>
    </row>
    <row r="1225" spans="1:7" x14ac:dyDescent="0.3">
      <c r="A1225" s="182" t="s">
        <v>1757</v>
      </c>
      <c r="B1225" s="177"/>
      <c r="G1225" s="177"/>
    </row>
    <row r="1226" spans="1:7" x14ac:dyDescent="0.3">
      <c r="A1226" s="182" t="s">
        <v>1758</v>
      </c>
      <c r="B1226" s="177"/>
      <c r="G1226" s="177"/>
    </row>
    <row r="1227" spans="1:7" x14ac:dyDescent="0.3">
      <c r="A1227" s="182" t="s">
        <v>1759</v>
      </c>
      <c r="B1227" s="177"/>
      <c r="G1227" s="177"/>
    </row>
    <row r="1228" spans="1:7" x14ac:dyDescent="0.3">
      <c r="A1228" s="182" t="s">
        <v>1760</v>
      </c>
      <c r="B1228" s="177"/>
      <c r="G1228" s="177"/>
    </row>
    <row r="1229" spans="1:7" x14ac:dyDescent="0.3">
      <c r="A1229" s="182" t="s">
        <v>1761</v>
      </c>
      <c r="B1229" s="177"/>
      <c r="G1229" s="177"/>
    </row>
    <row r="1230" spans="1:7" x14ac:dyDescent="0.3">
      <c r="A1230" s="182" t="s">
        <v>1762</v>
      </c>
      <c r="B1230" s="177"/>
      <c r="G1230" s="177"/>
    </row>
    <row r="1231" spans="1:7" x14ac:dyDescent="0.3">
      <c r="A1231" s="182" t="s">
        <v>1763</v>
      </c>
      <c r="B1231" s="177"/>
      <c r="G1231" s="177"/>
    </row>
    <row r="1232" spans="1:7" x14ac:dyDescent="0.3">
      <c r="A1232" s="182" t="s">
        <v>1764</v>
      </c>
      <c r="B1232" s="177"/>
      <c r="G1232" s="177"/>
    </row>
    <row r="1233" spans="1:7" x14ac:dyDescent="0.3">
      <c r="A1233" s="182" t="s">
        <v>1765</v>
      </c>
      <c r="B1233" s="177"/>
      <c r="G1233" s="177"/>
    </row>
    <row r="1234" spans="1:7" x14ac:dyDescent="0.3">
      <c r="A1234" s="182" t="s">
        <v>1766</v>
      </c>
      <c r="B1234" s="177"/>
      <c r="G1234" s="177"/>
    </row>
    <row r="1235" spans="1:7" x14ac:dyDescent="0.3">
      <c r="A1235" s="182" t="s">
        <v>1767</v>
      </c>
      <c r="B1235" s="177"/>
      <c r="G1235" s="177"/>
    </row>
    <row r="1236" spans="1:7" x14ac:dyDescent="0.3">
      <c r="A1236" s="182" t="s">
        <v>1768</v>
      </c>
      <c r="B1236" s="177"/>
      <c r="G1236" s="177"/>
    </row>
    <row r="1237" spans="1:7" x14ac:dyDescent="0.3">
      <c r="A1237" s="182" t="s">
        <v>1769</v>
      </c>
      <c r="B1237" s="177"/>
      <c r="G1237" s="177"/>
    </row>
    <row r="1238" spans="1:7" x14ac:dyDescent="0.3">
      <c r="A1238" s="182" t="s">
        <v>1770</v>
      </c>
      <c r="B1238" s="177"/>
      <c r="G1238" s="177"/>
    </row>
    <row r="1239" spans="1:7" x14ac:dyDescent="0.3">
      <c r="A1239" s="182" t="s">
        <v>1771</v>
      </c>
      <c r="B1239" s="177"/>
      <c r="G1239" s="177"/>
    </row>
    <row r="1240" spans="1:7" x14ac:dyDescent="0.3">
      <c r="A1240" s="182" t="s">
        <v>1772</v>
      </c>
      <c r="B1240" s="177"/>
      <c r="G1240" s="177"/>
    </row>
    <row r="1241" spans="1:7" x14ac:dyDescent="0.3">
      <c r="A1241" s="182" t="s">
        <v>1773</v>
      </c>
      <c r="B1241" s="177"/>
      <c r="G1241" s="177"/>
    </row>
    <row r="1242" spans="1:7" x14ac:dyDescent="0.3">
      <c r="A1242" s="182" t="s">
        <v>1774</v>
      </c>
      <c r="B1242" s="177"/>
      <c r="G1242" s="177"/>
    </row>
    <row r="1243" spans="1:7" x14ac:dyDescent="0.3">
      <c r="A1243" s="182" t="s">
        <v>1775</v>
      </c>
      <c r="B1243" s="177"/>
      <c r="G1243" s="177"/>
    </row>
    <row r="1244" spans="1:7" x14ac:dyDescent="0.3">
      <c r="A1244" s="182" t="s">
        <v>1776</v>
      </c>
      <c r="B1244" s="177"/>
      <c r="G1244" s="177"/>
    </row>
    <row r="1245" spans="1:7" x14ac:dyDescent="0.3">
      <c r="A1245" s="182" t="s">
        <v>1777</v>
      </c>
      <c r="B1245" s="177"/>
      <c r="G1245" s="177"/>
    </row>
    <row r="1246" spans="1:7" x14ac:dyDescent="0.3">
      <c r="A1246" s="182" t="s">
        <v>1778</v>
      </c>
      <c r="B1246" s="177"/>
      <c r="G1246" s="177"/>
    </row>
    <row r="1247" spans="1:7" x14ac:dyDescent="0.3">
      <c r="A1247" s="182" t="s">
        <v>1779</v>
      </c>
      <c r="B1247" s="177"/>
      <c r="G1247" s="177"/>
    </row>
    <row r="1248" spans="1:7" x14ac:dyDescent="0.3">
      <c r="A1248" s="182" t="s">
        <v>1780</v>
      </c>
      <c r="B1248" s="177"/>
      <c r="G1248" s="177"/>
    </row>
    <row r="1249" spans="1:7" x14ac:dyDescent="0.3">
      <c r="A1249" s="182" t="s">
        <v>1781</v>
      </c>
      <c r="B1249" s="177"/>
      <c r="G1249" s="177"/>
    </row>
    <row r="1250" spans="1:7" x14ac:dyDescent="0.3">
      <c r="A1250" s="182" t="s">
        <v>1782</v>
      </c>
      <c r="B1250" s="177"/>
      <c r="G1250" s="177"/>
    </row>
    <row r="1251" spans="1:7" x14ac:dyDescent="0.3">
      <c r="A1251" s="182" t="s">
        <v>1783</v>
      </c>
      <c r="B1251" s="177"/>
      <c r="G1251" s="177"/>
    </row>
    <row r="1252" spans="1:7" x14ac:dyDescent="0.3">
      <c r="A1252" s="182" t="s">
        <v>1784</v>
      </c>
      <c r="B1252" s="177"/>
      <c r="G1252" s="177"/>
    </row>
    <row r="1253" spans="1:7" x14ac:dyDescent="0.3">
      <c r="A1253" s="182" t="s">
        <v>1785</v>
      </c>
      <c r="B1253" s="177"/>
      <c r="G1253" s="177"/>
    </row>
    <row r="1254" spans="1:7" x14ac:dyDescent="0.3">
      <c r="A1254" s="182" t="s">
        <v>1786</v>
      </c>
      <c r="B1254" s="177"/>
      <c r="G1254" s="177"/>
    </row>
    <row r="1255" spans="1:7" x14ac:dyDescent="0.3">
      <c r="A1255" s="182" t="s">
        <v>1787</v>
      </c>
      <c r="B1255" s="177"/>
      <c r="G1255" s="177"/>
    </row>
    <row r="1256" spans="1:7" x14ac:dyDescent="0.3">
      <c r="A1256" s="182" t="s">
        <v>1788</v>
      </c>
      <c r="B1256" s="177"/>
      <c r="G1256" s="177"/>
    </row>
    <row r="1257" spans="1:7" x14ac:dyDescent="0.3">
      <c r="A1257" s="182" t="s">
        <v>1789</v>
      </c>
      <c r="B1257" s="177"/>
      <c r="G1257" s="177"/>
    </row>
    <row r="1258" spans="1:7" x14ac:dyDescent="0.3">
      <c r="A1258" s="182" t="s">
        <v>1790</v>
      </c>
      <c r="B1258" s="177"/>
      <c r="G1258" s="177"/>
    </row>
    <row r="1259" spans="1:7" x14ac:dyDescent="0.3">
      <c r="A1259" s="182" t="s">
        <v>1791</v>
      </c>
      <c r="B1259" s="177"/>
      <c r="G1259" s="177"/>
    </row>
    <row r="1260" spans="1:7" x14ac:dyDescent="0.3">
      <c r="A1260" s="182" t="s">
        <v>1792</v>
      </c>
      <c r="B1260" s="177"/>
      <c r="G1260" s="177"/>
    </row>
    <row r="1261" spans="1:7" x14ac:dyDescent="0.3">
      <c r="A1261" s="182" t="s">
        <v>1793</v>
      </c>
      <c r="B1261" s="177"/>
      <c r="G1261" s="177"/>
    </row>
    <row r="1262" spans="1:7" x14ac:dyDescent="0.3">
      <c r="A1262" s="182" t="s">
        <v>1794</v>
      </c>
      <c r="B1262" s="177"/>
      <c r="G1262" s="177"/>
    </row>
    <row r="1263" spans="1:7" x14ac:dyDescent="0.3">
      <c r="A1263" s="182" t="s">
        <v>1795</v>
      </c>
      <c r="B1263" s="177"/>
      <c r="G1263" s="177"/>
    </row>
    <row r="1264" spans="1:7" x14ac:dyDescent="0.3">
      <c r="A1264" s="182" t="s">
        <v>1796</v>
      </c>
      <c r="B1264" s="177"/>
      <c r="G1264" s="177"/>
    </row>
    <row r="1265" spans="1:7" x14ac:dyDescent="0.3">
      <c r="A1265" s="182" t="s">
        <v>1797</v>
      </c>
      <c r="B1265" s="177"/>
      <c r="G1265" s="177"/>
    </row>
    <row r="1266" spans="1:7" x14ac:dyDescent="0.3">
      <c r="A1266" s="182" t="s">
        <v>1798</v>
      </c>
      <c r="B1266" s="177"/>
      <c r="G1266" s="177"/>
    </row>
    <row r="1267" spans="1:7" x14ac:dyDescent="0.3">
      <c r="A1267" s="182" t="s">
        <v>1799</v>
      </c>
      <c r="B1267" s="177"/>
      <c r="G1267" s="177"/>
    </row>
    <row r="1268" spans="1:7" x14ac:dyDescent="0.3">
      <c r="A1268" s="182" t="s">
        <v>1800</v>
      </c>
      <c r="B1268" s="177"/>
      <c r="G1268" s="177"/>
    </row>
    <row r="1269" spans="1:7" x14ac:dyDescent="0.3">
      <c r="A1269" s="182" t="s">
        <v>1801</v>
      </c>
      <c r="B1269" s="177"/>
      <c r="G1269" s="177"/>
    </row>
    <row r="1270" spans="1:7" x14ac:dyDescent="0.3">
      <c r="A1270" s="182" t="s">
        <v>1802</v>
      </c>
      <c r="B1270" s="177"/>
      <c r="G1270" s="177"/>
    </row>
    <row r="1271" spans="1:7" x14ac:dyDescent="0.3">
      <c r="A1271" s="182" t="s">
        <v>1803</v>
      </c>
      <c r="B1271" s="177"/>
      <c r="G1271" s="177"/>
    </row>
    <row r="1272" spans="1:7" x14ac:dyDescent="0.3">
      <c r="A1272" s="182" t="s">
        <v>1804</v>
      </c>
      <c r="B1272" s="177"/>
      <c r="G1272" s="177"/>
    </row>
    <row r="1273" spans="1:7" x14ac:dyDescent="0.3">
      <c r="A1273" s="182" t="s">
        <v>1805</v>
      </c>
      <c r="B1273" s="177"/>
      <c r="G1273" s="177"/>
    </row>
    <row r="1274" spans="1:7" x14ac:dyDescent="0.3">
      <c r="A1274" s="182" t="s">
        <v>1806</v>
      </c>
      <c r="B1274" s="177"/>
      <c r="G1274" s="177"/>
    </row>
    <row r="1275" spans="1:7" x14ac:dyDescent="0.3">
      <c r="A1275" s="182" t="s">
        <v>1807</v>
      </c>
      <c r="B1275" s="177"/>
      <c r="G1275" s="177"/>
    </row>
    <row r="1276" spans="1:7" x14ac:dyDescent="0.3">
      <c r="A1276" s="182" t="s">
        <v>1808</v>
      </c>
      <c r="B1276" s="177"/>
      <c r="G1276" s="177"/>
    </row>
    <row r="1277" spans="1:7" x14ac:dyDescent="0.3">
      <c r="A1277" s="182" t="s">
        <v>1809</v>
      </c>
      <c r="B1277" s="177"/>
      <c r="G1277" s="177"/>
    </row>
    <row r="1278" spans="1:7" x14ac:dyDescent="0.3">
      <c r="A1278" s="182" t="s">
        <v>1810</v>
      </c>
      <c r="B1278" s="177"/>
      <c r="G1278" s="177"/>
    </row>
    <row r="1279" spans="1:7" x14ac:dyDescent="0.3">
      <c r="A1279" s="182" t="s">
        <v>1811</v>
      </c>
      <c r="B1279" s="177"/>
      <c r="G1279" s="177"/>
    </row>
    <row r="1280" spans="1:7" x14ac:dyDescent="0.3">
      <c r="A1280" s="182" t="s">
        <v>1812</v>
      </c>
      <c r="B1280" s="177"/>
      <c r="G1280" s="177"/>
    </row>
    <row r="1281" spans="1:7" x14ac:dyDescent="0.3">
      <c r="A1281" s="182" t="s">
        <v>1813</v>
      </c>
      <c r="B1281" s="177"/>
      <c r="G1281" s="177"/>
    </row>
    <row r="1282" spans="1:7" x14ac:dyDescent="0.3">
      <c r="A1282" s="182" t="s">
        <v>1814</v>
      </c>
      <c r="B1282" s="177"/>
      <c r="G1282" s="177"/>
    </row>
    <row r="1283" spans="1:7" x14ac:dyDescent="0.3">
      <c r="A1283" s="182" t="s">
        <v>1815</v>
      </c>
      <c r="B1283" s="177"/>
      <c r="G1283" s="177"/>
    </row>
    <row r="1284" spans="1:7" x14ac:dyDescent="0.3">
      <c r="A1284" s="182" t="s">
        <v>1816</v>
      </c>
      <c r="B1284" s="177"/>
      <c r="G1284" s="177"/>
    </row>
    <row r="1285" spans="1:7" x14ac:dyDescent="0.3">
      <c r="A1285" s="182" t="s">
        <v>1817</v>
      </c>
      <c r="B1285" s="177"/>
      <c r="G1285" s="177"/>
    </row>
    <row r="1286" spans="1:7" x14ac:dyDescent="0.3">
      <c r="A1286" s="182" t="s">
        <v>1818</v>
      </c>
      <c r="B1286" s="177"/>
      <c r="G1286" s="177"/>
    </row>
    <row r="1287" spans="1:7" x14ac:dyDescent="0.3">
      <c r="A1287" s="182" t="s">
        <v>1819</v>
      </c>
      <c r="B1287" s="177"/>
      <c r="G1287" s="177"/>
    </row>
    <row r="1288" spans="1:7" x14ac:dyDescent="0.3">
      <c r="A1288" s="182" t="s">
        <v>1820</v>
      </c>
      <c r="B1288" s="177"/>
      <c r="G1288" s="177"/>
    </row>
    <row r="1289" spans="1:7" x14ac:dyDescent="0.3">
      <c r="A1289" s="182" t="s">
        <v>1821</v>
      </c>
      <c r="B1289" s="177"/>
      <c r="G1289" s="177"/>
    </row>
    <row r="1290" spans="1:7" x14ac:dyDescent="0.3">
      <c r="A1290" s="182" t="s">
        <v>1822</v>
      </c>
      <c r="B1290" s="177"/>
      <c r="G1290" s="177"/>
    </row>
    <row r="1291" spans="1:7" x14ac:dyDescent="0.3">
      <c r="A1291" s="182" t="s">
        <v>1823</v>
      </c>
      <c r="B1291" s="177"/>
      <c r="G1291" s="177"/>
    </row>
    <row r="1292" spans="1:7" x14ac:dyDescent="0.3">
      <c r="A1292" s="182" t="s">
        <v>1824</v>
      </c>
      <c r="B1292" s="177"/>
      <c r="G1292" s="177"/>
    </row>
    <row r="1293" spans="1:7" x14ac:dyDescent="0.3">
      <c r="A1293" s="182" t="s">
        <v>1825</v>
      </c>
      <c r="B1293" s="177"/>
      <c r="G1293" s="177"/>
    </row>
    <row r="1294" spans="1:7" x14ac:dyDescent="0.3">
      <c r="A1294" s="182" t="s">
        <v>1826</v>
      </c>
      <c r="B1294" s="177"/>
      <c r="G1294" s="177"/>
    </row>
    <row r="1295" spans="1:7" x14ac:dyDescent="0.3">
      <c r="A1295" s="182" t="s">
        <v>1827</v>
      </c>
      <c r="B1295" s="177"/>
      <c r="G1295" s="177"/>
    </row>
    <row r="1296" spans="1:7" x14ac:dyDescent="0.3">
      <c r="A1296" s="182" t="s">
        <v>1828</v>
      </c>
      <c r="B1296" s="177"/>
      <c r="G1296" s="177"/>
    </row>
    <row r="1297" spans="1:7" x14ac:dyDescent="0.3">
      <c r="A1297" s="182" t="s">
        <v>1829</v>
      </c>
      <c r="B1297" s="177"/>
      <c r="G1297" s="177"/>
    </row>
    <row r="1298" spans="1:7" x14ac:dyDescent="0.3">
      <c r="A1298" s="182" t="s">
        <v>1830</v>
      </c>
      <c r="B1298" s="177"/>
      <c r="G1298" s="177"/>
    </row>
    <row r="1299" spans="1:7" x14ac:dyDescent="0.3">
      <c r="A1299" s="182" t="s">
        <v>1831</v>
      </c>
      <c r="B1299" s="177"/>
      <c r="G1299" s="177"/>
    </row>
    <row r="1300" spans="1:7" x14ac:dyDescent="0.3">
      <c r="A1300" s="182" t="s">
        <v>1832</v>
      </c>
      <c r="B1300" s="177"/>
      <c r="G1300" s="177"/>
    </row>
    <row r="1301" spans="1:7" x14ac:dyDescent="0.3">
      <c r="A1301" s="182" t="s">
        <v>1833</v>
      </c>
      <c r="B1301" s="177"/>
      <c r="G1301" s="177"/>
    </row>
    <row r="1302" spans="1:7" x14ac:dyDescent="0.3">
      <c r="A1302" s="182" t="s">
        <v>1834</v>
      </c>
      <c r="B1302" s="177"/>
      <c r="G1302" s="177"/>
    </row>
    <row r="1303" spans="1:7" x14ac:dyDescent="0.3">
      <c r="A1303" s="182" t="s">
        <v>1835</v>
      </c>
      <c r="B1303" s="177"/>
      <c r="G1303" s="177"/>
    </row>
    <row r="1304" spans="1:7" x14ac:dyDescent="0.3">
      <c r="A1304" s="182" t="s">
        <v>1836</v>
      </c>
      <c r="B1304" s="177"/>
      <c r="G1304" s="177"/>
    </row>
    <row r="1305" spans="1:7" x14ac:dyDescent="0.3">
      <c r="A1305" s="182" t="s">
        <v>1837</v>
      </c>
      <c r="B1305" s="177"/>
      <c r="G1305" s="177"/>
    </row>
    <row r="1306" spans="1:7" x14ac:dyDescent="0.3">
      <c r="A1306" s="182" t="s">
        <v>1838</v>
      </c>
      <c r="B1306" s="177"/>
      <c r="G1306" s="177"/>
    </row>
    <row r="1307" spans="1:7" x14ac:dyDescent="0.3">
      <c r="A1307" s="182" t="s">
        <v>1839</v>
      </c>
      <c r="B1307" s="177"/>
      <c r="G1307" s="177"/>
    </row>
    <row r="1308" spans="1:7" x14ac:dyDescent="0.3">
      <c r="A1308" s="182" t="s">
        <v>1840</v>
      </c>
      <c r="B1308" s="177"/>
      <c r="G1308" s="177"/>
    </row>
    <row r="1309" spans="1:7" x14ac:dyDescent="0.3">
      <c r="A1309" s="182" t="s">
        <v>1841</v>
      </c>
      <c r="B1309" s="177"/>
      <c r="G1309" s="177"/>
    </row>
    <row r="1310" spans="1:7" x14ac:dyDescent="0.3">
      <c r="A1310" s="182" t="s">
        <v>1842</v>
      </c>
      <c r="B1310" s="177"/>
      <c r="G1310" s="177"/>
    </row>
    <row r="1311" spans="1:7" x14ac:dyDescent="0.3">
      <c r="A1311" s="182" t="s">
        <v>1843</v>
      </c>
      <c r="B1311" s="177"/>
      <c r="G1311" s="177"/>
    </row>
    <row r="1312" spans="1:7" x14ac:dyDescent="0.3">
      <c r="A1312" s="182" t="s">
        <v>1844</v>
      </c>
      <c r="B1312" s="177"/>
      <c r="G1312" s="177"/>
    </row>
    <row r="1313" spans="1:7" x14ac:dyDescent="0.3">
      <c r="A1313" s="182" t="s">
        <v>1845</v>
      </c>
      <c r="B1313" s="177"/>
      <c r="G1313" s="177"/>
    </row>
    <row r="1314" spans="1:7" x14ac:dyDescent="0.3">
      <c r="A1314" s="182" t="s">
        <v>1846</v>
      </c>
      <c r="B1314" s="177"/>
      <c r="G1314" s="177"/>
    </row>
    <row r="1315" spans="1:7" x14ac:dyDescent="0.3">
      <c r="A1315" s="182" t="s">
        <v>1847</v>
      </c>
      <c r="B1315" s="177"/>
      <c r="G1315" s="177"/>
    </row>
    <row r="1316" spans="1:7" x14ac:dyDescent="0.3">
      <c r="A1316" s="182" t="s">
        <v>1848</v>
      </c>
      <c r="B1316" s="177"/>
      <c r="G1316" s="177"/>
    </row>
    <row r="1317" spans="1:7" x14ac:dyDescent="0.3">
      <c r="A1317" s="182" t="s">
        <v>1849</v>
      </c>
      <c r="B1317" s="177"/>
      <c r="G1317" s="177"/>
    </row>
    <row r="1318" spans="1:7" x14ac:dyDescent="0.3">
      <c r="A1318" s="182" t="s">
        <v>1850</v>
      </c>
      <c r="B1318" s="177"/>
      <c r="G1318" s="177"/>
    </row>
    <row r="1319" spans="1:7" x14ac:dyDescent="0.3">
      <c r="A1319" s="182" t="s">
        <v>1851</v>
      </c>
      <c r="B1319" s="177"/>
      <c r="G1319" s="177"/>
    </row>
    <row r="1320" spans="1:7" x14ac:dyDescent="0.3">
      <c r="A1320" s="182" t="s">
        <v>1852</v>
      </c>
      <c r="B1320" s="177"/>
      <c r="G1320" s="177"/>
    </row>
    <row r="1321" spans="1:7" x14ac:dyDescent="0.3">
      <c r="A1321" s="182" t="s">
        <v>1853</v>
      </c>
      <c r="B1321" s="177"/>
      <c r="G1321" s="177"/>
    </row>
    <row r="1322" spans="1:7" x14ac:dyDescent="0.3">
      <c r="A1322" s="182" t="s">
        <v>1854</v>
      </c>
      <c r="B1322" s="177"/>
      <c r="G1322" s="177"/>
    </row>
    <row r="1323" spans="1:7" x14ac:dyDescent="0.3">
      <c r="A1323" s="182" t="s">
        <v>1855</v>
      </c>
      <c r="B1323" s="177"/>
      <c r="G1323" s="177"/>
    </row>
    <row r="1324" spans="1:7" x14ac:dyDescent="0.3">
      <c r="A1324" s="182" t="s">
        <v>1856</v>
      </c>
      <c r="B1324" s="177"/>
      <c r="G1324" s="177"/>
    </row>
    <row r="1325" spans="1:7" x14ac:dyDescent="0.3">
      <c r="A1325" s="182" t="s">
        <v>1857</v>
      </c>
      <c r="B1325" s="177"/>
      <c r="G1325" s="177"/>
    </row>
    <row r="1326" spans="1:7" x14ac:dyDescent="0.3">
      <c r="A1326" s="182" t="s">
        <v>1858</v>
      </c>
      <c r="B1326" s="177"/>
      <c r="G1326" s="177"/>
    </row>
    <row r="1327" spans="1:7" x14ac:dyDescent="0.3">
      <c r="A1327" s="182" t="s">
        <v>1859</v>
      </c>
      <c r="B1327" s="177"/>
      <c r="G1327" s="177"/>
    </row>
    <row r="1328" spans="1:7" x14ac:dyDescent="0.3">
      <c r="A1328" s="182" t="s">
        <v>1860</v>
      </c>
      <c r="B1328" s="177"/>
      <c r="G1328" s="177"/>
    </row>
    <row r="1329" spans="1:7" x14ac:dyDescent="0.3">
      <c r="A1329" s="182" t="s">
        <v>1861</v>
      </c>
      <c r="B1329" s="177"/>
      <c r="G1329" s="177"/>
    </row>
    <row r="1330" spans="1:7" x14ac:dyDescent="0.3">
      <c r="A1330" s="182" t="s">
        <v>1862</v>
      </c>
      <c r="B1330" s="177"/>
      <c r="G1330" s="177"/>
    </row>
    <row r="1331" spans="1:7" x14ac:dyDescent="0.3">
      <c r="A1331" s="182" t="s">
        <v>1863</v>
      </c>
      <c r="B1331" s="177"/>
      <c r="G1331" s="177"/>
    </row>
    <row r="1332" spans="1:7" x14ac:dyDescent="0.3">
      <c r="A1332" s="182" t="s">
        <v>1864</v>
      </c>
      <c r="B1332" s="177"/>
      <c r="G1332" s="177"/>
    </row>
    <row r="1333" spans="1:7" x14ac:dyDescent="0.3">
      <c r="A1333" s="182" t="s">
        <v>1865</v>
      </c>
      <c r="B1333" s="177"/>
      <c r="G1333" s="177"/>
    </row>
    <row r="1334" spans="1:7" x14ac:dyDescent="0.3">
      <c r="A1334" s="182" t="s">
        <v>1866</v>
      </c>
      <c r="B1334" s="177"/>
      <c r="G1334" s="177"/>
    </row>
    <row r="1335" spans="1:7" x14ac:dyDescent="0.3">
      <c r="A1335" s="182" t="s">
        <v>1867</v>
      </c>
      <c r="B1335" s="177"/>
      <c r="G1335" s="177"/>
    </row>
    <row r="1336" spans="1:7" x14ac:dyDescent="0.3">
      <c r="A1336" s="182" t="s">
        <v>1868</v>
      </c>
      <c r="B1336" s="177"/>
      <c r="G1336" s="177"/>
    </row>
    <row r="1337" spans="1:7" x14ac:dyDescent="0.3">
      <c r="A1337" s="182" t="s">
        <v>1869</v>
      </c>
      <c r="B1337" s="177"/>
      <c r="G1337" s="177"/>
    </row>
    <row r="1338" spans="1:7" x14ac:dyDescent="0.3">
      <c r="A1338" s="182" t="s">
        <v>1870</v>
      </c>
      <c r="B1338" s="177"/>
      <c r="G1338" s="177"/>
    </row>
    <row r="1339" spans="1:7" x14ac:dyDescent="0.3">
      <c r="A1339" s="182" t="s">
        <v>1871</v>
      </c>
      <c r="B1339" s="177"/>
      <c r="G1339" s="177"/>
    </row>
    <row r="1340" spans="1:7" x14ac:dyDescent="0.3">
      <c r="A1340" s="182" t="s">
        <v>1872</v>
      </c>
      <c r="B1340" s="177"/>
      <c r="G1340" s="177"/>
    </row>
    <row r="1341" spans="1:7" x14ac:dyDescent="0.3">
      <c r="A1341" s="182" t="s">
        <v>1873</v>
      </c>
      <c r="B1341" s="177"/>
      <c r="G1341" s="177"/>
    </row>
    <row r="1342" spans="1:7" x14ac:dyDescent="0.3">
      <c r="A1342" s="182" t="s">
        <v>1874</v>
      </c>
      <c r="B1342" s="177"/>
      <c r="G1342" s="177"/>
    </row>
    <row r="1343" spans="1:7" x14ac:dyDescent="0.3">
      <c r="A1343" s="182" t="s">
        <v>1875</v>
      </c>
      <c r="B1343" s="177"/>
      <c r="G1343" s="177"/>
    </row>
    <row r="1344" spans="1:7" x14ac:dyDescent="0.3">
      <c r="A1344" s="182" t="s">
        <v>1876</v>
      </c>
      <c r="B1344" s="177"/>
      <c r="G1344" s="177"/>
    </row>
    <row r="1345" spans="1:7" x14ac:dyDescent="0.3">
      <c r="A1345" s="182" t="s">
        <v>1877</v>
      </c>
      <c r="B1345" s="177"/>
      <c r="G1345" s="177"/>
    </row>
    <row r="1346" spans="1:7" x14ac:dyDescent="0.3">
      <c r="A1346" s="182" t="s">
        <v>1878</v>
      </c>
      <c r="B1346" s="177"/>
      <c r="G1346" s="177"/>
    </row>
    <row r="1347" spans="1:7" x14ac:dyDescent="0.3">
      <c r="A1347" s="182" t="s">
        <v>1879</v>
      </c>
      <c r="B1347" s="177"/>
      <c r="G1347" s="177"/>
    </row>
    <row r="1348" spans="1:7" x14ac:dyDescent="0.3">
      <c r="A1348" s="182" t="s">
        <v>1880</v>
      </c>
      <c r="B1348" s="177"/>
      <c r="G1348" s="177"/>
    </row>
    <row r="1349" spans="1:7" x14ac:dyDescent="0.3">
      <c r="A1349" s="182" t="s">
        <v>1881</v>
      </c>
      <c r="B1349" s="177"/>
      <c r="G1349" s="177"/>
    </row>
    <row r="1350" spans="1:7" x14ac:dyDescent="0.3">
      <c r="A1350" s="182" t="s">
        <v>1882</v>
      </c>
      <c r="B1350" s="177"/>
      <c r="G1350" s="177"/>
    </row>
    <row r="1351" spans="1:7" x14ac:dyDescent="0.3">
      <c r="A1351" s="182" t="s">
        <v>1883</v>
      </c>
      <c r="B1351" s="177"/>
      <c r="G1351" s="177"/>
    </row>
    <row r="1352" spans="1:7" x14ac:dyDescent="0.3">
      <c r="A1352" s="182" t="s">
        <v>1884</v>
      </c>
      <c r="B1352" s="177"/>
      <c r="G1352" s="177"/>
    </row>
    <row r="1353" spans="1:7" x14ac:dyDescent="0.3">
      <c r="A1353" s="182" t="s">
        <v>1885</v>
      </c>
      <c r="B1353" s="177"/>
      <c r="G1353" s="177"/>
    </row>
    <row r="1354" spans="1:7" x14ac:dyDescent="0.3">
      <c r="A1354" s="182" t="s">
        <v>1886</v>
      </c>
      <c r="B1354" s="177"/>
      <c r="G1354" s="177"/>
    </row>
    <row r="1355" spans="1:7" x14ac:dyDescent="0.3">
      <c r="A1355" s="182" t="s">
        <v>1887</v>
      </c>
      <c r="B1355" s="177"/>
      <c r="G1355" s="177"/>
    </row>
    <row r="1356" spans="1:7" x14ac:dyDescent="0.3">
      <c r="A1356" s="182" t="s">
        <v>1888</v>
      </c>
      <c r="B1356" s="177"/>
      <c r="G1356" s="177"/>
    </row>
    <row r="1357" spans="1:7" x14ac:dyDescent="0.3">
      <c r="A1357" s="182" t="s">
        <v>1889</v>
      </c>
      <c r="B1357" s="177"/>
      <c r="G1357" s="177"/>
    </row>
    <row r="1358" spans="1:7" x14ac:dyDescent="0.3">
      <c r="A1358" s="182" t="s">
        <v>1890</v>
      </c>
      <c r="B1358" s="177"/>
      <c r="G1358" s="177"/>
    </row>
    <row r="1359" spans="1:7" x14ac:dyDescent="0.3">
      <c r="A1359" s="182" t="s">
        <v>1891</v>
      </c>
      <c r="B1359" s="177"/>
      <c r="G1359" s="177"/>
    </row>
    <row r="1360" spans="1:7" x14ac:dyDescent="0.3">
      <c r="A1360" s="182" t="s">
        <v>1892</v>
      </c>
      <c r="B1360" s="177"/>
      <c r="G1360" s="177"/>
    </row>
    <row r="1361" spans="1:7" x14ac:dyDescent="0.3">
      <c r="A1361" s="182" t="s">
        <v>1893</v>
      </c>
      <c r="B1361" s="177"/>
      <c r="G1361" s="177"/>
    </row>
    <row r="1362" spans="1:7" x14ac:dyDescent="0.3">
      <c r="A1362" s="182" t="s">
        <v>1894</v>
      </c>
      <c r="B1362" s="177"/>
      <c r="G1362" s="177"/>
    </row>
    <row r="1363" spans="1:7" x14ac:dyDescent="0.3">
      <c r="A1363" s="182" t="s">
        <v>1895</v>
      </c>
      <c r="B1363" s="177"/>
      <c r="G1363" s="177"/>
    </row>
    <row r="1364" spans="1:7" x14ac:dyDescent="0.3">
      <c r="A1364" s="182" t="s">
        <v>1896</v>
      </c>
      <c r="B1364" s="177"/>
      <c r="G1364" s="177"/>
    </row>
    <row r="1365" spans="1:7" x14ac:dyDescent="0.3">
      <c r="A1365" s="182" t="s">
        <v>1897</v>
      </c>
      <c r="B1365" s="177"/>
      <c r="G1365" s="177"/>
    </row>
    <row r="1366" spans="1:7" x14ac:dyDescent="0.3">
      <c r="A1366" s="182" t="s">
        <v>1898</v>
      </c>
      <c r="B1366" s="177"/>
      <c r="G1366" s="177"/>
    </row>
    <row r="1367" spans="1:7" x14ac:dyDescent="0.3">
      <c r="A1367" s="182" t="s">
        <v>1899</v>
      </c>
      <c r="B1367" s="177"/>
      <c r="G1367" s="177"/>
    </row>
    <row r="1368" spans="1:7" x14ac:dyDescent="0.3">
      <c r="A1368" s="182" t="s">
        <v>1900</v>
      </c>
      <c r="B1368" s="177"/>
      <c r="G1368" s="177"/>
    </row>
    <row r="1369" spans="1:7" x14ac:dyDescent="0.3">
      <c r="A1369" s="182" t="s">
        <v>1901</v>
      </c>
      <c r="B1369" s="177"/>
      <c r="G1369" s="177"/>
    </row>
    <row r="1370" spans="1:7" x14ac:dyDescent="0.3">
      <c r="A1370" s="182" t="s">
        <v>1902</v>
      </c>
      <c r="B1370" s="177"/>
      <c r="G1370" s="177"/>
    </row>
    <row r="1371" spans="1:7" x14ac:dyDescent="0.3">
      <c r="A1371" s="182" t="s">
        <v>1903</v>
      </c>
      <c r="B1371" s="177"/>
      <c r="G1371" s="177"/>
    </row>
    <row r="1372" spans="1:7" x14ac:dyDescent="0.3">
      <c r="A1372" s="182" t="s">
        <v>1904</v>
      </c>
      <c r="B1372" s="177"/>
      <c r="G1372" s="177"/>
    </row>
    <row r="1373" spans="1:7" x14ac:dyDescent="0.3">
      <c r="A1373" s="182" t="s">
        <v>1905</v>
      </c>
      <c r="B1373" s="177"/>
      <c r="G1373" s="177"/>
    </row>
    <row r="1374" spans="1:7" x14ac:dyDescent="0.3">
      <c r="A1374" s="182" t="s">
        <v>1906</v>
      </c>
      <c r="B1374" s="177"/>
      <c r="G1374" s="177"/>
    </row>
    <row r="1375" spans="1:7" x14ac:dyDescent="0.3">
      <c r="A1375" s="182" t="s">
        <v>1907</v>
      </c>
      <c r="B1375" s="177"/>
      <c r="G1375" s="177"/>
    </row>
    <row r="1376" spans="1:7" x14ac:dyDescent="0.3">
      <c r="A1376" s="182" t="s">
        <v>1908</v>
      </c>
      <c r="B1376" s="177"/>
      <c r="G1376" s="177"/>
    </row>
    <row r="1377" spans="1:7" x14ac:dyDescent="0.3">
      <c r="A1377" s="182" t="s">
        <v>1909</v>
      </c>
      <c r="B1377" s="177"/>
      <c r="G1377" s="177"/>
    </row>
    <row r="1378" spans="1:7" x14ac:dyDescent="0.3">
      <c r="A1378" s="182" t="s">
        <v>1910</v>
      </c>
      <c r="B1378" s="177"/>
      <c r="G1378" s="177"/>
    </row>
    <row r="1379" spans="1:7" x14ac:dyDescent="0.3">
      <c r="A1379" s="182" t="s">
        <v>1911</v>
      </c>
      <c r="B1379" s="177"/>
      <c r="G1379" s="177"/>
    </row>
    <row r="1380" spans="1:7" x14ac:dyDescent="0.3">
      <c r="A1380" s="182" t="s">
        <v>1912</v>
      </c>
      <c r="B1380" s="177"/>
      <c r="G1380" s="177"/>
    </row>
    <row r="1381" spans="1:7" x14ac:dyDescent="0.3">
      <c r="A1381" s="182" t="s">
        <v>1913</v>
      </c>
      <c r="B1381" s="177"/>
      <c r="G1381" s="177"/>
    </row>
    <row r="1382" spans="1:7" x14ac:dyDescent="0.3">
      <c r="A1382" s="182" t="s">
        <v>1914</v>
      </c>
      <c r="B1382" s="177"/>
      <c r="G1382" s="177"/>
    </row>
    <row r="1383" spans="1:7" x14ac:dyDescent="0.3">
      <c r="A1383" s="182" t="s">
        <v>1915</v>
      </c>
      <c r="B1383" s="177"/>
      <c r="G1383" s="177"/>
    </row>
    <row r="1384" spans="1:7" x14ac:dyDescent="0.3">
      <c r="A1384" s="182" t="s">
        <v>1916</v>
      </c>
      <c r="B1384" s="177"/>
      <c r="G1384" s="177"/>
    </row>
    <row r="1385" spans="1:7" x14ac:dyDescent="0.3">
      <c r="A1385" s="182" t="s">
        <v>1917</v>
      </c>
      <c r="B1385" s="177"/>
      <c r="G1385" s="177"/>
    </row>
    <row r="1386" spans="1:7" x14ac:dyDescent="0.3">
      <c r="A1386" s="182" t="s">
        <v>1918</v>
      </c>
      <c r="B1386" s="177"/>
      <c r="G1386" s="177"/>
    </row>
    <row r="1387" spans="1:7" x14ac:dyDescent="0.3">
      <c r="A1387" s="182" t="s">
        <v>1919</v>
      </c>
      <c r="B1387" s="177"/>
      <c r="G1387" s="177"/>
    </row>
    <row r="1388" spans="1:7" x14ac:dyDescent="0.3">
      <c r="A1388" s="182" t="s">
        <v>1920</v>
      </c>
      <c r="B1388" s="177"/>
      <c r="G1388" s="177"/>
    </row>
    <row r="1389" spans="1:7" x14ac:dyDescent="0.3">
      <c r="A1389" s="182" t="s">
        <v>1921</v>
      </c>
      <c r="B1389" s="177"/>
      <c r="G1389" s="177"/>
    </row>
    <row r="1390" spans="1:7" x14ac:dyDescent="0.3">
      <c r="A1390" s="182" t="s">
        <v>1922</v>
      </c>
      <c r="B1390" s="177"/>
      <c r="G1390" s="177"/>
    </row>
    <row r="1391" spans="1:7" x14ac:dyDescent="0.3">
      <c r="A1391" s="182" t="s">
        <v>1923</v>
      </c>
      <c r="B1391" s="177"/>
      <c r="G1391" s="177"/>
    </row>
    <row r="1392" spans="1:7" x14ac:dyDescent="0.3">
      <c r="A1392" s="182" t="s">
        <v>1924</v>
      </c>
      <c r="B1392" s="177"/>
      <c r="G1392" s="177"/>
    </row>
    <row r="1393" spans="1:7" x14ac:dyDescent="0.3">
      <c r="A1393" s="182" t="s">
        <v>1925</v>
      </c>
      <c r="B1393" s="177"/>
      <c r="G1393" s="177"/>
    </row>
    <row r="1394" spans="1:7" x14ac:dyDescent="0.3">
      <c r="A1394" s="182" t="s">
        <v>1926</v>
      </c>
      <c r="B1394" s="177"/>
      <c r="G1394" s="177"/>
    </row>
    <row r="1395" spans="1:7" x14ac:dyDescent="0.3">
      <c r="A1395" s="182" t="s">
        <v>1927</v>
      </c>
      <c r="B1395" s="177"/>
      <c r="G1395" s="177"/>
    </row>
    <row r="1396" spans="1:7" x14ac:dyDescent="0.3">
      <c r="A1396" s="182" t="s">
        <v>1928</v>
      </c>
      <c r="B1396" s="177"/>
      <c r="G1396" s="177"/>
    </row>
    <row r="1397" spans="1:7" x14ac:dyDescent="0.3">
      <c r="A1397" s="182" t="s">
        <v>1929</v>
      </c>
      <c r="B1397" s="177"/>
      <c r="G1397" s="177"/>
    </row>
    <row r="1398" spans="1:7" x14ac:dyDescent="0.3">
      <c r="A1398" s="182" t="s">
        <v>1930</v>
      </c>
      <c r="B1398" s="177"/>
      <c r="G1398" s="177"/>
    </row>
    <row r="1399" spans="1:7" x14ac:dyDescent="0.3">
      <c r="A1399" s="182" t="s">
        <v>1931</v>
      </c>
      <c r="B1399" s="177"/>
      <c r="G1399" s="177"/>
    </row>
    <row r="1400" spans="1:7" x14ac:dyDescent="0.3">
      <c r="A1400" s="182" t="s">
        <v>1932</v>
      </c>
      <c r="B1400" s="177"/>
      <c r="G1400" s="177"/>
    </row>
    <row r="1401" spans="1:7" x14ac:dyDescent="0.3">
      <c r="A1401" s="182" t="s">
        <v>1933</v>
      </c>
      <c r="B1401" s="177"/>
      <c r="G1401" s="177"/>
    </row>
    <row r="1402" spans="1:7" x14ac:dyDescent="0.3">
      <c r="A1402" s="182" t="s">
        <v>1934</v>
      </c>
      <c r="B1402" s="177"/>
      <c r="G1402" s="177"/>
    </row>
    <row r="1403" spans="1:7" x14ac:dyDescent="0.3">
      <c r="A1403" s="182" t="s">
        <v>1935</v>
      </c>
      <c r="B1403" s="177"/>
      <c r="G1403" s="177"/>
    </row>
    <row r="1404" spans="1:7" x14ac:dyDescent="0.3">
      <c r="A1404" s="182" t="s">
        <v>1936</v>
      </c>
      <c r="B1404" s="177"/>
      <c r="G1404" s="177"/>
    </row>
    <row r="1405" spans="1:7" x14ac:dyDescent="0.3">
      <c r="A1405" s="182" t="s">
        <v>1937</v>
      </c>
      <c r="B1405" s="177"/>
      <c r="G1405" s="177"/>
    </row>
    <row r="1406" spans="1:7" x14ac:dyDescent="0.3">
      <c r="A1406" s="182" t="s">
        <v>1938</v>
      </c>
      <c r="B1406" s="177"/>
      <c r="G1406" s="177"/>
    </row>
    <row r="1407" spans="1:7" x14ac:dyDescent="0.3">
      <c r="A1407" s="182" t="s">
        <v>1939</v>
      </c>
      <c r="B1407" s="177"/>
      <c r="G1407" s="177"/>
    </row>
    <row r="1408" spans="1:7" x14ac:dyDescent="0.3">
      <c r="A1408" s="182" t="s">
        <v>1940</v>
      </c>
      <c r="B1408" s="177"/>
      <c r="G1408" s="177"/>
    </row>
    <row r="1409" spans="1:7" x14ac:dyDescent="0.3">
      <c r="A1409" s="182" t="s">
        <v>1941</v>
      </c>
      <c r="B1409" s="177"/>
      <c r="G1409" s="177"/>
    </row>
    <row r="1410" spans="1:7" x14ac:dyDescent="0.3">
      <c r="A1410" s="182" t="s">
        <v>1942</v>
      </c>
      <c r="B1410" s="177"/>
      <c r="G1410" s="177"/>
    </row>
    <row r="1411" spans="1:7" x14ac:dyDescent="0.3">
      <c r="A1411" s="182" t="s">
        <v>1943</v>
      </c>
      <c r="B1411" s="177"/>
      <c r="G1411" s="177"/>
    </row>
    <row r="1412" spans="1:7" x14ac:dyDescent="0.3">
      <c r="A1412" s="182" t="s">
        <v>1944</v>
      </c>
      <c r="B1412" s="177"/>
      <c r="G1412" s="177"/>
    </row>
    <row r="1413" spans="1:7" x14ac:dyDescent="0.3">
      <c r="A1413" s="182" t="s">
        <v>1945</v>
      </c>
      <c r="B1413" s="177"/>
      <c r="G1413" s="177"/>
    </row>
    <row r="1414" spans="1:7" x14ac:dyDescent="0.3">
      <c r="A1414" s="182" t="s">
        <v>1946</v>
      </c>
      <c r="B1414" s="177"/>
      <c r="G1414" s="177"/>
    </row>
    <row r="1415" spans="1:7" x14ac:dyDescent="0.3">
      <c r="A1415" s="182" t="s">
        <v>1947</v>
      </c>
      <c r="B1415" s="177"/>
      <c r="G1415" s="177"/>
    </row>
    <row r="1416" spans="1:7" x14ac:dyDescent="0.3">
      <c r="A1416" s="182" t="s">
        <v>1948</v>
      </c>
      <c r="B1416" s="177"/>
      <c r="G1416" s="177"/>
    </row>
    <row r="1417" spans="1:7" x14ac:dyDescent="0.3">
      <c r="A1417" s="182" t="s">
        <v>1949</v>
      </c>
      <c r="B1417" s="177"/>
      <c r="G1417" s="177"/>
    </row>
    <row r="1418" spans="1:7" x14ac:dyDescent="0.3">
      <c r="A1418" s="182" t="s">
        <v>1950</v>
      </c>
      <c r="B1418" s="177"/>
      <c r="G1418" s="177"/>
    </row>
    <row r="1419" spans="1:7" x14ac:dyDescent="0.3">
      <c r="A1419" s="182" t="s">
        <v>1951</v>
      </c>
      <c r="B1419" s="177"/>
      <c r="G1419" s="177"/>
    </row>
    <row r="1420" spans="1:7" x14ac:dyDescent="0.3">
      <c r="A1420" s="182" t="s">
        <v>1952</v>
      </c>
      <c r="B1420" s="177"/>
      <c r="G1420" s="177"/>
    </row>
    <row r="1421" spans="1:7" x14ac:dyDescent="0.3">
      <c r="A1421" s="182" t="s">
        <v>1953</v>
      </c>
      <c r="B1421" s="177"/>
      <c r="G1421" s="177"/>
    </row>
    <row r="1422" spans="1:7" x14ac:dyDescent="0.3">
      <c r="A1422" s="182" t="s">
        <v>1954</v>
      </c>
      <c r="B1422" s="177"/>
      <c r="G1422" s="177"/>
    </row>
    <row r="1423" spans="1:7" x14ac:dyDescent="0.3">
      <c r="A1423" s="182" t="s">
        <v>1955</v>
      </c>
      <c r="B1423" s="177"/>
      <c r="G1423" s="177"/>
    </row>
    <row r="1424" spans="1:7" x14ac:dyDescent="0.3">
      <c r="A1424" s="182" t="s">
        <v>1956</v>
      </c>
      <c r="B1424" s="177"/>
      <c r="G1424" s="177"/>
    </row>
    <row r="1425" spans="1:7" x14ac:dyDescent="0.3">
      <c r="A1425" s="182" t="s">
        <v>1957</v>
      </c>
      <c r="B1425" s="177"/>
      <c r="G1425" s="177"/>
    </row>
    <row r="1426" spans="1:7" x14ac:dyDescent="0.3">
      <c r="A1426" s="182" t="s">
        <v>1958</v>
      </c>
      <c r="B1426" s="177"/>
      <c r="G1426" s="177"/>
    </row>
    <row r="1427" spans="1:7" x14ac:dyDescent="0.3">
      <c r="A1427" s="182" t="s">
        <v>1959</v>
      </c>
      <c r="B1427" s="177"/>
      <c r="G1427" s="177"/>
    </row>
    <row r="1428" spans="1:7" x14ac:dyDescent="0.3">
      <c r="A1428" s="182" t="s">
        <v>1960</v>
      </c>
      <c r="B1428" s="177"/>
      <c r="G1428" s="177"/>
    </row>
    <row r="1429" spans="1:7" x14ac:dyDescent="0.3">
      <c r="A1429" s="182" t="s">
        <v>1961</v>
      </c>
      <c r="B1429" s="177"/>
      <c r="G1429" s="177"/>
    </row>
    <row r="1430" spans="1:7" x14ac:dyDescent="0.3">
      <c r="A1430" s="182" t="s">
        <v>1962</v>
      </c>
      <c r="B1430" s="177"/>
      <c r="G1430" s="177"/>
    </row>
    <row r="1431" spans="1:7" x14ac:dyDescent="0.3">
      <c r="A1431" s="182" t="s">
        <v>1963</v>
      </c>
      <c r="B1431" s="177"/>
      <c r="G1431" s="177"/>
    </row>
    <row r="1432" spans="1:7" x14ac:dyDescent="0.3">
      <c r="A1432" s="182" t="s">
        <v>1964</v>
      </c>
      <c r="B1432" s="177"/>
      <c r="G1432" s="177"/>
    </row>
    <row r="1433" spans="1:7" x14ac:dyDescent="0.3">
      <c r="A1433" s="182" t="s">
        <v>1965</v>
      </c>
      <c r="B1433" s="177"/>
      <c r="G1433" s="177"/>
    </row>
    <row r="1434" spans="1:7" x14ac:dyDescent="0.3">
      <c r="A1434" s="182" t="s">
        <v>1966</v>
      </c>
      <c r="B1434" s="177"/>
      <c r="G1434" s="177"/>
    </row>
    <row r="1435" spans="1:7" x14ac:dyDescent="0.3">
      <c r="A1435" s="182" t="s">
        <v>1967</v>
      </c>
      <c r="B1435" s="177"/>
      <c r="G1435" s="177"/>
    </row>
    <row r="1436" spans="1:7" x14ac:dyDescent="0.3">
      <c r="A1436" s="182" t="s">
        <v>1968</v>
      </c>
      <c r="B1436" s="177"/>
      <c r="G1436" s="177"/>
    </row>
    <row r="1437" spans="1:7" x14ac:dyDescent="0.3">
      <c r="A1437" s="182" t="s">
        <v>1969</v>
      </c>
      <c r="B1437" s="177"/>
      <c r="G1437" s="177"/>
    </row>
    <row r="1438" spans="1:7" x14ac:dyDescent="0.3">
      <c r="A1438" s="182" t="s">
        <v>1970</v>
      </c>
      <c r="B1438" s="177"/>
      <c r="G1438" s="177"/>
    </row>
    <row r="1439" spans="1:7" x14ac:dyDescent="0.3">
      <c r="A1439" s="182" t="s">
        <v>1971</v>
      </c>
      <c r="B1439" s="177"/>
      <c r="G1439" s="177"/>
    </row>
    <row r="1440" spans="1:7" x14ac:dyDescent="0.3">
      <c r="A1440" s="182" t="s">
        <v>1972</v>
      </c>
      <c r="B1440" s="177"/>
      <c r="G1440" s="177"/>
    </row>
    <row r="1441" spans="1:7" x14ac:dyDescent="0.3">
      <c r="A1441" s="182" t="s">
        <v>1973</v>
      </c>
      <c r="B1441" s="177"/>
      <c r="G1441" s="177"/>
    </row>
    <row r="1442" spans="1:7" x14ac:dyDescent="0.3">
      <c r="A1442" s="182" t="s">
        <v>1974</v>
      </c>
      <c r="B1442" s="177"/>
      <c r="G1442" s="177"/>
    </row>
    <row r="1443" spans="1:7" x14ac:dyDescent="0.3">
      <c r="A1443" s="182" t="s">
        <v>1975</v>
      </c>
      <c r="B1443" s="177"/>
      <c r="G1443" s="177"/>
    </row>
    <row r="1444" spans="1:7" x14ac:dyDescent="0.3">
      <c r="A1444" s="182" t="s">
        <v>1976</v>
      </c>
      <c r="B1444" s="177"/>
      <c r="G1444" s="177"/>
    </row>
    <row r="1445" spans="1:7" x14ac:dyDescent="0.3">
      <c r="A1445" s="182" t="s">
        <v>1977</v>
      </c>
      <c r="B1445" s="177"/>
      <c r="G1445" s="177"/>
    </row>
    <row r="1446" spans="1:7" x14ac:dyDescent="0.3">
      <c r="A1446" s="182" t="s">
        <v>1978</v>
      </c>
      <c r="B1446" s="177"/>
      <c r="G1446" s="177"/>
    </row>
    <row r="1447" spans="1:7" x14ac:dyDescent="0.3">
      <c r="A1447" s="182" t="s">
        <v>1979</v>
      </c>
      <c r="B1447" s="177"/>
      <c r="G1447" s="177"/>
    </row>
    <row r="1448" spans="1:7" x14ac:dyDescent="0.3">
      <c r="A1448" s="182" t="s">
        <v>1980</v>
      </c>
      <c r="B1448" s="177"/>
      <c r="G1448" s="177"/>
    </row>
    <row r="1449" spans="1:7" x14ac:dyDescent="0.3">
      <c r="A1449" s="182" t="s">
        <v>1981</v>
      </c>
      <c r="B1449" s="177"/>
      <c r="G1449" s="177"/>
    </row>
    <row r="1450" spans="1:7" x14ac:dyDescent="0.3">
      <c r="A1450" s="182" t="s">
        <v>1982</v>
      </c>
      <c r="B1450" s="177"/>
      <c r="G1450" s="177"/>
    </row>
    <row r="1451" spans="1:7" x14ac:dyDescent="0.3">
      <c r="A1451" s="182" t="s">
        <v>1983</v>
      </c>
      <c r="B1451" s="177"/>
      <c r="G1451" s="177"/>
    </row>
    <row r="1452" spans="1:7" x14ac:dyDescent="0.3">
      <c r="A1452" s="182" t="s">
        <v>1984</v>
      </c>
      <c r="B1452" s="177"/>
      <c r="G1452" s="177"/>
    </row>
    <row r="1453" spans="1:7" x14ac:dyDescent="0.3">
      <c r="A1453" s="182" t="s">
        <v>1985</v>
      </c>
      <c r="B1453" s="177"/>
      <c r="G1453" s="177"/>
    </row>
    <row r="1454" spans="1:7" x14ac:dyDescent="0.3">
      <c r="A1454" s="182" t="s">
        <v>1986</v>
      </c>
      <c r="B1454" s="177"/>
      <c r="G1454" s="177"/>
    </row>
    <row r="1455" spans="1:7" x14ac:dyDescent="0.3">
      <c r="A1455" s="182" t="s">
        <v>1987</v>
      </c>
      <c r="B1455" s="177"/>
      <c r="G1455" s="177"/>
    </row>
    <row r="1456" spans="1:7" x14ac:dyDescent="0.3">
      <c r="A1456" s="182" t="s">
        <v>1988</v>
      </c>
      <c r="B1456" s="177"/>
      <c r="G1456" s="177"/>
    </row>
    <row r="1457" spans="1:7" x14ac:dyDescent="0.3">
      <c r="A1457" s="182" t="s">
        <v>1989</v>
      </c>
      <c r="B1457" s="177"/>
      <c r="G1457" s="177"/>
    </row>
    <row r="1458" spans="1:7" x14ac:dyDescent="0.3">
      <c r="A1458" s="182" t="s">
        <v>1990</v>
      </c>
      <c r="B1458" s="177"/>
      <c r="G1458" s="177"/>
    </row>
    <row r="1459" spans="1:7" x14ac:dyDescent="0.3">
      <c r="A1459" s="182" t="s">
        <v>1991</v>
      </c>
      <c r="B1459" s="177"/>
      <c r="G1459" s="177"/>
    </row>
    <row r="1460" spans="1:7" x14ac:dyDescent="0.3">
      <c r="A1460" s="182" t="s">
        <v>1992</v>
      </c>
      <c r="B1460" s="177"/>
      <c r="G1460" s="177"/>
    </row>
    <row r="1461" spans="1:7" x14ac:dyDescent="0.3">
      <c r="A1461" s="182" t="s">
        <v>1993</v>
      </c>
      <c r="B1461" s="177"/>
      <c r="G1461" s="177"/>
    </row>
    <row r="1462" spans="1:7" x14ac:dyDescent="0.3">
      <c r="A1462" s="182" t="s">
        <v>1994</v>
      </c>
      <c r="B1462" s="177"/>
      <c r="G1462" s="177"/>
    </row>
    <row r="1463" spans="1:7" x14ac:dyDescent="0.3">
      <c r="A1463" s="182" t="s">
        <v>1995</v>
      </c>
      <c r="B1463" s="177"/>
      <c r="G1463" s="177"/>
    </row>
    <row r="1464" spans="1:7" x14ac:dyDescent="0.3">
      <c r="A1464" s="182" t="s">
        <v>1996</v>
      </c>
      <c r="B1464" s="177"/>
      <c r="G1464" s="177"/>
    </row>
    <row r="1465" spans="1:7" x14ac:dyDescent="0.3">
      <c r="A1465" s="182" t="s">
        <v>1997</v>
      </c>
      <c r="B1465" s="177"/>
      <c r="G1465" s="177"/>
    </row>
    <row r="1466" spans="1:7" x14ac:dyDescent="0.3">
      <c r="A1466" s="182" t="s">
        <v>1998</v>
      </c>
      <c r="B1466" s="177"/>
      <c r="G1466" s="177"/>
    </row>
    <row r="1467" spans="1:7" x14ac:dyDescent="0.3">
      <c r="A1467" s="182" t="s">
        <v>1999</v>
      </c>
      <c r="B1467" s="177"/>
      <c r="G1467" s="177"/>
    </row>
    <row r="1468" spans="1:7" x14ac:dyDescent="0.3">
      <c r="A1468" s="182" t="s">
        <v>2000</v>
      </c>
      <c r="B1468" s="177"/>
      <c r="G1468" s="177"/>
    </row>
    <row r="1469" spans="1:7" x14ac:dyDescent="0.3">
      <c r="A1469" s="182" t="s">
        <v>2001</v>
      </c>
      <c r="B1469" s="177"/>
      <c r="G1469" s="177"/>
    </row>
    <row r="1470" spans="1:7" x14ac:dyDescent="0.3">
      <c r="A1470" s="182" t="s">
        <v>2002</v>
      </c>
      <c r="B1470" s="177"/>
      <c r="G1470" s="177"/>
    </row>
    <row r="1471" spans="1:7" x14ac:dyDescent="0.25">
      <c r="A1471" s="198" t="s">
        <v>2003</v>
      </c>
      <c r="B1471" s="177"/>
      <c r="G1471" s="177"/>
    </row>
    <row r="1472" spans="1:7" x14ac:dyDescent="0.25">
      <c r="A1472" s="198" t="s">
        <v>2004</v>
      </c>
      <c r="B1472" s="177"/>
      <c r="G1472" s="177"/>
    </row>
    <row r="1473" spans="1:7" x14ac:dyDescent="0.3">
      <c r="A1473" s="182" t="s">
        <v>2005</v>
      </c>
      <c r="B1473" s="177"/>
      <c r="G1473" s="177"/>
    </row>
    <row r="1474" spans="1:7" x14ac:dyDescent="0.3">
      <c r="A1474" s="182" t="s">
        <v>2006</v>
      </c>
      <c r="B1474" s="177"/>
      <c r="G1474" s="177"/>
    </row>
    <row r="1475" spans="1:7" x14ac:dyDescent="0.3">
      <c r="A1475" s="182" t="s">
        <v>2007</v>
      </c>
      <c r="B1475" s="177"/>
      <c r="G1475" s="177"/>
    </row>
    <row r="1476" spans="1:7" x14ac:dyDescent="0.3">
      <c r="A1476" s="182" t="s">
        <v>2008</v>
      </c>
      <c r="B1476" s="177"/>
      <c r="G1476" s="177"/>
    </row>
    <row r="1477" spans="1:7" x14ac:dyDescent="0.3">
      <c r="A1477" s="182" t="s">
        <v>2009</v>
      </c>
      <c r="B1477" s="177"/>
      <c r="G1477" s="177"/>
    </row>
    <row r="1478" spans="1:7" x14ac:dyDescent="0.3">
      <c r="A1478" s="182" t="s">
        <v>2010</v>
      </c>
      <c r="B1478" s="177"/>
      <c r="G1478" s="177"/>
    </row>
    <row r="1479" spans="1:7" x14ac:dyDescent="0.3">
      <c r="A1479" s="182" t="s">
        <v>2011</v>
      </c>
      <c r="B1479" s="177"/>
      <c r="G1479" s="177"/>
    </row>
    <row r="1480" spans="1:7" x14ac:dyDescent="0.3">
      <c r="A1480" s="182" t="s">
        <v>2012</v>
      </c>
      <c r="B1480" s="177"/>
      <c r="G1480" s="177"/>
    </row>
    <row r="1481" spans="1:7" x14ac:dyDescent="0.3">
      <c r="A1481" s="182" t="s">
        <v>2013</v>
      </c>
      <c r="B1481" s="177"/>
      <c r="G1481" s="177"/>
    </row>
    <row r="1482" spans="1:7" x14ac:dyDescent="0.3">
      <c r="A1482" s="182" t="s">
        <v>2014</v>
      </c>
      <c r="B1482" s="177"/>
      <c r="G1482" s="177"/>
    </row>
    <row r="1483" spans="1:7" x14ac:dyDescent="0.3">
      <c r="A1483" s="182" t="s">
        <v>2015</v>
      </c>
      <c r="B1483" s="177"/>
      <c r="G1483" s="177"/>
    </row>
    <row r="1484" spans="1:7" x14ac:dyDescent="0.3">
      <c r="A1484" s="182" t="s">
        <v>2016</v>
      </c>
      <c r="B1484" s="177"/>
      <c r="G1484" s="177"/>
    </row>
    <row r="1485" spans="1:7" x14ac:dyDescent="0.3">
      <c r="A1485" s="182" t="s">
        <v>2017</v>
      </c>
      <c r="B1485" s="177"/>
      <c r="G1485" s="177"/>
    </row>
    <row r="1486" spans="1:7" x14ac:dyDescent="0.3">
      <c r="A1486" s="182" t="s">
        <v>2018</v>
      </c>
      <c r="B1486" s="177"/>
      <c r="G1486" s="177"/>
    </row>
    <row r="1487" spans="1:7" x14ac:dyDescent="0.3">
      <c r="A1487" s="182" t="s">
        <v>2019</v>
      </c>
      <c r="B1487" s="177"/>
      <c r="G1487" s="177"/>
    </row>
    <row r="1488" spans="1:7" x14ac:dyDescent="0.3">
      <c r="A1488" s="182" t="s">
        <v>2020</v>
      </c>
      <c r="B1488" s="177"/>
      <c r="G1488" s="177"/>
    </row>
    <row r="1489" spans="1:7" x14ac:dyDescent="0.3">
      <c r="A1489" s="182" t="s">
        <v>2021</v>
      </c>
      <c r="B1489" s="177"/>
      <c r="G1489" s="177"/>
    </row>
    <row r="1490" spans="1:7" x14ac:dyDescent="0.3">
      <c r="A1490" s="182" t="s">
        <v>2022</v>
      </c>
      <c r="B1490" s="177"/>
      <c r="G1490" s="177"/>
    </row>
    <row r="1491" spans="1:7" x14ac:dyDescent="0.3">
      <c r="A1491" s="182" t="s">
        <v>2023</v>
      </c>
      <c r="B1491" s="177"/>
      <c r="G1491" s="177"/>
    </row>
    <row r="1492" spans="1:7" x14ac:dyDescent="0.3">
      <c r="A1492" s="182" t="s">
        <v>2024</v>
      </c>
      <c r="B1492" s="177"/>
      <c r="G1492" s="177"/>
    </row>
    <row r="1493" spans="1:7" x14ac:dyDescent="0.3">
      <c r="A1493" s="182" t="s">
        <v>2025</v>
      </c>
      <c r="B1493" s="177"/>
      <c r="G1493" s="177"/>
    </row>
    <row r="1494" spans="1:7" x14ac:dyDescent="0.3">
      <c r="A1494" s="182" t="s">
        <v>2026</v>
      </c>
      <c r="B1494" s="177"/>
      <c r="G1494" s="177"/>
    </row>
    <row r="1495" spans="1:7" x14ac:dyDescent="0.3">
      <c r="A1495" s="182" t="s">
        <v>2027</v>
      </c>
      <c r="B1495" s="177"/>
      <c r="G1495" s="177"/>
    </row>
    <row r="1496" spans="1:7" x14ac:dyDescent="0.3">
      <c r="A1496" s="182" t="s">
        <v>2028</v>
      </c>
      <c r="B1496" s="177"/>
      <c r="G1496" s="177"/>
    </row>
    <row r="1497" spans="1:7" x14ac:dyDescent="0.3">
      <c r="A1497" s="182" t="s">
        <v>2029</v>
      </c>
      <c r="B1497" s="177"/>
      <c r="G1497" s="177"/>
    </row>
    <row r="1498" spans="1:7" x14ac:dyDescent="0.3">
      <c r="A1498" s="182" t="s">
        <v>2030</v>
      </c>
      <c r="B1498" s="177"/>
      <c r="G1498" s="177"/>
    </row>
    <row r="1499" spans="1:7" x14ac:dyDescent="0.3">
      <c r="A1499" s="182" t="s">
        <v>2031</v>
      </c>
      <c r="B1499" s="177"/>
      <c r="G1499" s="177"/>
    </row>
    <row r="1500" spans="1:7" x14ac:dyDescent="0.3">
      <c r="A1500" s="182" t="s">
        <v>2032</v>
      </c>
      <c r="B1500" s="177"/>
      <c r="G1500" s="177"/>
    </row>
    <row r="1501" spans="1:7" x14ac:dyDescent="0.3">
      <c r="A1501" s="182" t="s">
        <v>2033</v>
      </c>
      <c r="B1501" s="177"/>
      <c r="G1501" s="177"/>
    </row>
    <row r="1502" spans="1:7" x14ac:dyDescent="0.3">
      <c r="A1502" s="182" t="s">
        <v>2034</v>
      </c>
      <c r="B1502" s="177"/>
      <c r="G1502" s="177"/>
    </row>
    <row r="1503" spans="1:7" x14ac:dyDescent="0.3">
      <c r="A1503" s="182" t="s">
        <v>2035</v>
      </c>
      <c r="B1503" s="177"/>
      <c r="G1503" s="177"/>
    </row>
    <row r="1504" spans="1:7" x14ac:dyDescent="0.3">
      <c r="A1504" s="182" t="s">
        <v>2036</v>
      </c>
      <c r="B1504" s="177"/>
      <c r="G1504" s="177"/>
    </row>
    <row r="1505" spans="1:7" x14ac:dyDescent="0.3">
      <c r="A1505" s="182" t="s">
        <v>2037</v>
      </c>
      <c r="B1505" s="177"/>
      <c r="G1505" s="177"/>
    </row>
    <row r="1506" spans="1:7" x14ac:dyDescent="0.3">
      <c r="A1506" s="182" t="s">
        <v>2038</v>
      </c>
      <c r="B1506" s="177"/>
      <c r="G1506" s="177"/>
    </row>
    <row r="1507" spans="1:7" x14ac:dyDescent="0.3">
      <c r="A1507" s="182" t="s">
        <v>2039</v>
      </c>
      <c r="B1507" s="177"/>
      <c r="G1507" s="177"/>
    </row>
    <row r="1508" spans="1:7" x14ac:dyDescent="0.3">
      <c r="A1508" s="182" t="s">
        <v>2040</v>
      </c>
      <c r="B1508" s="177"/>
      <c r="G1508" s="177"/>
    </row>
    <row r="1509" spans="1:7" x14ac:dyDescent="0.3">
      <c r="A1509" s="182" t="s">
        <v>2041</v>
      </c>
      <c r="B1509" s="177"/>
      <c r="G1509" s="177"/>
    </row>
    <row r="1510" spans="1:7" x14ac:dyDescent="0.3">
      <c r="A1510" s="182" t="s">
        <v>2042</v>
      </c>
      <c r="B1510" s="177"/>
      <c r="G1510" s="177"/>
    </row>
    <row r="1511" spans="1:7" x14ac:dyDescent="0.3">
      <c r="A1511" s="182" t="s">
        <v>2043</v>
      </c>
      <c r="B1511" s="177"/>
      <c r="G1511" s="177"/>
    </row>
    <row r="1512" spans="1:7" x14ac:dyDescent="0.3">
      <c r="A1512" s="182" t="s">
        <v>2044</v>
      </c>
      <c r="B1512" s="177"/>
      <c r="G1512" s="177"/>
    </row>
    <row r="1513" spans="1:7" x14ac:dyDescent="0.3">
      <c r="A1513" s="182" t="s">
        <v>2045</v>
      </c>
      <c r="B1513" s="177"/>
      <c r="G1513" s="177"/>
    </row>
    <row r="1514" spans="1:7" x14ac:dyDescent="0.3">
      <c r="A1514" s="182" t="s">
        <v>2046</v>
      </c>
      <c r="B1514" s="177"/>
      <c r="G1514" s="177"/>
    </row>
    <row r="1515" spans="1:7" x14ac:dyDescent="0.3">
      <c r="A1515" s="182" t="s">
        <v>2047</v>
      </c>
      <c r="B1515" s="177"/>
      <c r="G1515" s="177"/>
    </row>
    <row r="1516" spans="1:7" x14ac:dyDescent="0.3">
      <c r="A1516" s="182" t="s">
        <v>2048</v>
      </c>
      <c r="B1516" s="177"/>
      <c r="G1516" s="177"/>
    </row>
    <row r="1517" spans="1:7" x14ac:dyDescent="0.3">
      <c r="A1517" s="182" t="s">
        <v>2049</v>
      </c>
      <c r="B1517" s="177"/>
      <c r="G1517" s="177"/>
    </row>
    <row r="1518" spans="1:7" x14ac:dyDescent="0.3">
      <c r="A1518" s="182" t="s">
        <v>2050</v>
      </c>
      <c r="B1518" s="177"/>
      <c r="G1518" s="177"/>
    </row>
    <row r="1519" spans="1:7" x14ac:dyDescent="0.3">
      <c r="A1519" s="182" t="s">
        <v>2051</v>
      </c>
      <c r="B1519" s="177"/>
      <c r="G1519" s="177"/>
    </row>
    <row r="1520" spans="1:7" x14ac:dyDescent="0.3">
      <c r="A1520" s="182" t="s">
        <v>2052</v>
      </c>
      <c r="B1520" s="177"/>
      <c r="G1520" s="177"/>
    </row>
    <row r="1521" spans="1:7" x14ac:dyDescent="0.3">
      <c r="A1521" s="182" t="s">
        <v>2053</v>
      </c>
      <c r="B1521" s="177"/>
      <c r="G1521" s="177"/>
    </row>
    <row r="1522" spans="1:7" x14ac:dyDescent="0.3">
      <c r="A1522" s="182" t="s">
        <v>2054</v>
      </c>
      <c r="B1522" s="177"/>
      <c r="G1522" s="177"/>
    </row>
    <row r="1523" spans="1:7" x14ac:dyDescent="0.3">
      <c r="A1523" s="182" t="s">
        <v>2055</v>
      </c>
      <c r="B1523" s="177"/>
      <c r="G1523" s="177"/>
    </row>
    <row r="1524" spans="1:7" x14ac:dyDescent="0.3">
      <c r="A1524" s="182" t="s">
        <v>2056</v>
      </c>
      <c r="B1524" s="177"/>
      <c r="G1524" s="177"/>
    </row>
    <row r="1525" spans="1:7" x14ac:dyDescent="0.3">
      <c r="A1525" s="182" t="s">
        <v>2057</v>
      </c>
      <c r="B1525" s="177"/>
      <c r="G1525" s="177"/>
    </row>
    <row r="1526" spans="1:7" x14ac:dyDescent="0.3">
      <c r="A1526" s="182" t="s">
        <v>2058</v>
      </c>
      <c r="B1526" s="177"/>
      <c r="G1526" s="177"/>
    </row>
    <row r="1527" spans="1:7" x14ac:dyDescent="0.3">
      <c r="A1527" s="182" t="s">
        <v>2059</v>
      </c>
      <c r="B1527" s="177"/>
      <c r="G1527" s="177"/>
    </row>
    <row r="1528" spans="1:7" x14ac:dyDescent="0.3">
      <c r="A1528" s="182" t="s">
        <v>2060</v>
      </c>
      <c r="B1528" s="177"/>
      <c r="G1528" s="177"/>
    </row>
    <row r="1529" spans="1:7" x14ac:dyDescent="0.3">
      <c r="A1529" s="182" t="s">
        <v>2061</v>
      </c>
      <c r="B1529" s="177"/>
      <c r="G1529" s="177"/>
    </row>
    <row r="1530" spans="1:7" x14ac:dyDescent="0.3">
      <c r="A1530" s="182" t="s">
        <v>2062</v>
      </c>
      <c r="B1530" s="177"/>
      <c r="G1530" s="177"/>
    </row>
    <row r="1531" spans="1:7" x14ac:dyDescent="0.3">
      <c r="A1531" s="182" t="s">
        <v>2063</v>
      </c>
      <c r="B1531" s="177"/>
      <c r="G1531" s="177"/>
    </row>
    <row r="1532" spans="1:7" x14ac:dyDescent="0.3">
      <c r="A1532" s="182" t="s">
        <v>2064</v>
      </c>
      <c r="B1532" s="177"/>
      <c r="G1532" s="177"/>
    </row>
    <row r="1533" spans="1:7" x14ac:dyDescent="0.3">
      <c r="A1533" s="182" t="s">
        <v>2065</v>
      </c>
      <c r="B1533" s="177"/>
      <c r="G1533" s="177"/>
    </row>
    <row r="1534" spans="1:7" x14ac:dyDescent="0.3">
      <c r="A1534" s="182" t="s">
        <v>2066</v>
      </c>
      <c r="B1534" s="177"/>
      <c r="G1534" s="177"/>
    </row>
    <row r="1535" spans="1:7" x14ac:dyDescent="0.3">
      <c r="A1535" s="182" t="s">
        <v>2067</v>
      </c>
      <c r="B1535" s="177"/>
      <c r="G1535" s="177"/>
    </row>
    <row r="1536" spans="1:7" x14ac:dyDescent="0.3">
      <c r="A1536" s="182" t="s">
        <v>2068</v>
      </c>
      <c r="B1536" s="177"/>
      <c r="G1536" s="177"/>
    </row>
    <row r="1537" spans="1:7" x14ac:dyDescent="0.3">
      <c r="A1537" s="182" t="s">
        <v>2069</v>
      </c>
      <c r="B1537" s="177"/>
      <c r="G1537" s="177"/>
    </row>
    <row r="1538" spans="1:7" x14ac:dyDescent="0.3">
      <c r="A1538" s="182" t="s">
        <v>2070</v>
      </c>
      <c r="B1538" s="177"/>
      <c r="G1538" s="177"/>
    </row>
    <row r="1539" spans="1:7" x14ac:dyDescent="0.3">
      <c r="A1539" s="182" t="s">
        <v>2071</v>
      </c>
      <c r="B1539" s="177"/>
      <c r="G1539" s="177"/>
    </row>
    <row r="1540" spans="1:7" x14ac:dyDescent="0.3">
      <c r="A1540" s="182" t="s">
        <v>2072</v>
      </c>
      <c r="B1540" s="177"/>
      <c r="G1540" s="177"/>
    </row>
    <row r="1541" spans="1:7" x14ac:dyDescent="0.3">
      <c r="A1541" s="182" t="s">
        <v>2073</v>
      </c>
      <c r="B1541" s="177"/>
      <c r="G1541" s="177"/>
    </row>
    <row r="1542" spans="1:7" x14ac:dyDescent="0.3">
      <c r="A1542" s="182" t="s">
        <v>2074</v>
      </c>
      <c r="B1542" s="177"/>
      <c r="G1542" s="177"/>
    </row>
    <row r="1543" spans="1:7" x14ac:dyDescent="0.3">
      <c r="A1543" s="182" t="s">
        <v>2075</v>
      </c>
      <c r="B1543" s="177"/>
      <c r="G1543" s="177"/>
    </row>
    <row r="1544" spans="1:7" x14ac:dyDescent="0.3">
      <c r="A1544" s="182" t="s">
        <v>2076</v>
      </c>
      <c r="B1544" s="177"/>
      <c r="G1544" s="177"/>
    </row>
    <row r="1545" spans="1:7" x14ac:dyDescent="0.3">
      <c r="A1545" s="182" t="s">
        <v>2077</v>
      </c>
      <c r="B1545" s="177"/>
      <c r="G1545" s="177"/>
    </row>
    <row r="1546" spans="1:7" x14ac:dyDescent="0.3">
      <c r="A1546" s="182" t="s">
        <v>2078</v>
      </c>
      <c r="B1546" s="177"/>
      <c r="G1546" s="177"/>
    </row>
    <row r="1547" spans="1:7" x14ac:dyDescent="0.3">
      <c r="A1547" s="182" t="s">
        <v>2079</v>
      </c>
      <c r="B1547" s="177"/>
      <c r="G1547" s="177"/>
    </row>
    <row r="1548" spans="1:7" x14ac:dyDescent="0.3">
      <c r="A1548" s="182" t="s">
        <v>2080</v>
      </c>
      <c r="B1548" s="177"/>
      <c r="G1548" s="177"/>
    </row>
    <row r="1549" spans="1:7" x14ac:dyDescent="0.3">
      <c r="A1549" s="182" t="s">
        <v>2081</v>
      </c>
      <c r="B1549" s="177"/>
      <c r="G1549" s="177"/>
    </row>
    <row r="1550" spans="1:7" x14ac:dyDescent="0.3">
      <c r="A1550" s="182" t="s">
        <v>2082</v>
      </c>
      <c r="B1550" s="177"/>
      <c r="G1550" s="177"/>
    </row>
    <row r="1551" spans="1:7" x14ac:dyDescent="0.3">
      <c r="A1551" s="182" t="s">
        <v>2083</v>
      </c>
      <c r="B1551" s="177"/>
      <c r="G1551" s="177"/>
    </row>
    <row r="1552" spans="1:7" x14ac:dyDescent="0.3">
      <c r="A1552" s="182" t="s">
        <v>2084</v>
      </c>
      <c r="B1552" s="177"/>
      <c r="G1552" s="177"/>
    </row>
    <row r="1553" spans="1:7" x14ac:dyDescent="0.3">
      <c r="A1553" s="182" t="s">
        <v>2085</v>
      </c>
      <c r="B1553" s="177"/>
      <c r="G1553" s="177"/>
    </row>
    <row r="1554" spans="1:7" x14ac:dyDescent="0.3">
      <c r="A1554" s="182" t="s">
        <v>2086</v>
      </c>
      <c r="B1554" s="177"/>
      <c r="G1554" s="177"/>
    </row>
    <row r="1555" spans="1:7" x14ac:dyDescent="0.3">
      <c r="A1555" s="182" t="s">
        <v>2087</v>
      </c>
      <c r="B1555" s="177"/>
      <c r="G1555" s="177"/>
    </row>
    <row r="1556" spans="1:7" x14ac:dyDescent="0.3">
      <c r="A1556" s="182" t="s">
        <v>2088</v>
      </c>
      <c r="B1556" s="177"/>
      <c r="G1556" s="177"/>
    </row>
    <row r="1557" spans="1:7" x14ac:dyDescent="0.3">
      <c r="A1557" s="182" t="s">
        <v>2089</v>
      </c>
      <c r="B1557" s="177"/>
      <c r="G1557" s="177"/>
    </row>
    <row r="1558" spans="1:7" x14ac:dyDescent="0.3">
      <c r="A1558" s="182" t="s">
        <v>2090</v>
      </c>
      <c r="B1558" s="177"/>
      <c r="G1558" s="177"/>
    </row>
    <row r="1559" spans="1:7" x14ac:dyDescent="0.3">
      <c r="A1559" s="182" t="s">
        <v>2091</v>
      </c>
      <c r="B1559" s="177"/>
      <c r="G1559" s="177"/>
    </row>
    <row r="1560" spans="1:7" x14ac:dyDescent="0.3">
      <c r="A1560" s="182" t="s">
        <v>2092</v>
      </c>
      <c r="B1560" s="177"/>
      <c r="G1560" s="177"/>
    </row>
    <row r="1561" spans="1:7" x14ac:dyDescent="0.3">
      <c r="A1561" s="182" t="s">
        <v>2093</v>
      </c>
      <c r="B1561" s="177"/>
      <c r="G1561" s="177"/>
    </row>
    <row r="1562" spans="1:7" x14ac:dyDescent="0.3">
      <c r="A1562" s="182" t="s">
        <v>2094</v>
      </c>
      <c r="B1562" s="177"/>
      <c r="G1562" s="177"/>
    </row>
    <row r="1563" spans="1:7" x14ac:dyDescent="0.3">
      <c r="A1563" s="182" t="s">
        <v>2095</v>
      </c>
      <c r="B1563" s="177"/>
      <c r="G1563" s="177"/>
    </row>
    <row r="1564" spans="1:7" x14ac:dyDescent="0.3">
      <c r="A1564" s="182" t="s">
        <v>2096</v>
      </c>
      <c r="B1564" s="177"/>
      <c r="G1564" s="177"/>
    </row>
    <row r="1565" spans="1:7" x14ac:dyDescent="0.3">
      <c r="A1565" s="182" t="s">
        <v>2097</v>
      </c>
      <c r="B1565" s="177"/>
      <c r="G1565" s="177"/>
    </row>
    <row r="1566" spans="1:7" x14ac:dyDescent="0.3">
      <c r="A1566" s="182" t="s">
        <v>2098</v>
      </c>
      <c r="B1566" s="177"/>
      <c r="G1566" s="177"/>
    </row>
    <row r="1567" spans="1:7" x14ac:dyDescent="0.3">
      <c r="A1567" s="182" t="s">
        <v>2099</v>
      </c>
      <c r="B1567" s="177"/>
      <c r="G1567" s="177"/>
    </row>
    <row r="1568" spans="1:7" x14ac:dyDescent="0.3">
      <c r="A1568" s="182" t="s">
        <v>2100</v>
      </c>
      <c r="B1568" s="177"/>
      <c r="G1568" s="177"/>
    </row>
    <row r="1569" spans="1:7" x14ac:dyDescent="0.3">
      <c r="A1569" s="182" t="s">
        <v>2101</v>
      </c>
      <c r="B1569" s="177"/>
      <c r="G1569" s="177"/>
    </row>
    <row r="1570" spans="1:7" x14ac:dyDescent="0.3">
      <c r="A1570" s="182" t="s">
        <v>2102</v>
      </c>
      <c r="B1570" s="177"/>
      <c r="G1570" s="177"/>
    </row>
    <row r="1571" spans="1:7" x14ac:dyDescent="0.3">
      <c r="A1571" s="182" t="s">
        <v>2103</v>
      </c>
      <c r="B1571" s="177"/>
      <c r="G1571" s="177"/>
    </row>
    <row r="1572" spans="1:7" x14ac:dyDescent="0.3">
      <c r="A1572" s="182" t="s">
        <v>2104</v>
      </c>
      <c r="B1572" s="177"/>
      <c r="G1572" s="177"/>
    </row>
    <row r="1573" spans="1:7" x14ac:dyDescent="0.3">
      <c r="A1573" s="182" t="s">
        <v>2105</v>
      </c>
      <c r="B1573" s="177"/>
      <c r="G1573" s="177"/>
    </row>
    <row r="1574" spans="1:7" x14ac:dyDescent="0.3">
      <c r="A1574" s="182" t="s">
        <v>2106</v>
      </c>
      <c r="B1574" s="177"/>
      <c r="G1574" s="177"/>
    </row>
    <row r="1575" spans="1:7" x14ac:dyDescent="0.3">
      <c r="A1575" s="182" t="s">
        <v>2107</v>
      </c>
      <c r="B1575" s="177"/>
      <c r="G1575" s="177"/>
    </row>
    <row r="1576" spans="1:7" x14ac:dyDescent="0.3">
      <c r="A1576" s="182" t="s">
        <v>2108</v>
      </c>
      <c r="B1576" s="177"/>
      <c r="G1576" s="177"/>
    </row>
    <row r="1577" spans="1:7" x14ac:dyDescent="0.3">
      <c r="A1577" s="182" t="s">
        <v>2109</v>
      </c>
      <c r="B1577" s="177"/>
      <c r="G1577" s="177"/>
    </row>
    <row r="1578" spans="1:7" x14ac:dyDescent="0.3">
      <c r="A1578" s="182" t="s">
        <v>2110</v>
      </c>
      <c r="B1578" s="177"/>
      <c r="G1578" s="177"/>
    </row>
    <row r="1579" spans="1:7" x14ac:dyDescent="0.3">
      <c r="A1579" s="182" t="s">
        <v>2111</v>
      </c>
      <c r="B1579" s="177"/>
      <c r="G1579" s="177"/>
    </row>
    <row r="1580" spans="1:7" x14ac:dyDescent="0.3">
      <c r="A1580" s="182" t="s">
        <v>2112</v>
      </c>
      <c r="B1580" s="177"/>
      <c r="G1580" s="177"/>
    </row>
    <row r="1581" spans="1:7" x14ac:dyDescent="0.3">
      <c r="A1581" s="182" t="s">
        <v>2113</v>
      </c>
      <c r="B1581" s="177"/>
      <c r="G1581" s="177"/>
    </row>
    <row r="1582" spans="1:7" x14ac:dyDescent="0.3">
      <c r="A1582" s="182" t="s">
        <v>2114</v>
      </c>
      <c r="B1582" s="177"/>
      <c r="G1582" s="177"/>
    </row>
    <row r="1583" spans="1:7" x14ac:dyDescent="0.3">
      <c r="A1583" s="182" t="s">
        <v>2115</v>
      </c>
      <c r="B1583" s="177"/>
      <c r="G1583" s="177"/>
    </row>
    <row r="1584" spans="1:7" x14ac:dyDescent="0.3">
      <c r="A1584" s="182" t="s">
        <v>2116</v>
      </c>
      <c r="B1584" s="177"/>
      <c r="G1584" s="177"/>
    </row>
    <row r="1585" spans="1:7" x14ac:dyDescent="0.3">
      <c r="A1585" s="182" t="s">
        <v>2117</v>
      </c>
      <c r="B1585" s="177"/>
      <c r="G1585" s="177"/>
    </row>
    <row r="1586" spans="1:7" x14ac:dyDescent="0.3">
      <c r="A1586" s="182" t="s">
        <v>2118</v>
      </c>
      <c r="B1586" s="177"/>
      <c r="G1586" s="177"/>
    </row>
    <row r="1587" spans="1:7" x14ac:dyDescent="0.3">
      <c r="A1587" s="182" t="s">
        <v>2119</v>
      </c>
      <c r="B1587" s="177"/>
      <c r="G1587" s="177"/>
    </row>
    <row r="1588" spans="1:7" x14ac:dyDescent="0.3">
      <c r="A1588" s="182" t="s">
        <v>2120</v>
      </c>
      <c r="B1588" s="177"/>
      <c r="G1588" s="177"/>
    </row>
    <row r="1589" spans="1:7" x14ac:dyDescent="0.3">
      <c r="A1589" s="182" t="s">
        <v>2121</v>
      </c>
      <c r="B1589" s="177"/>
      <c r="G1589" s="177"/>
    </row>
    <row r="1590" spans="1:7" x14ac:dyDescent="0.3">
      <c r="A1590" s="182" t="s">
        <v>2122</v>
      </c>
      <c r="B1590" s="177"/>
      <c r="G1590" s="177"/>
    </row>
    <row r="1591" spans="1:7" x14ac:dyDescent="0.3">
      <c r="A1591" s="182" t="s">
        <v>2123</v>
      </c>
      <c r="B1591" s="177"/>
      <c r="G1591" s="177"/>
    </row>
    <row r="1592" spans="1:7" x14ac:dyDescent="0.3">
      <c r="A1592" s="182" t="s">
        <v>2124</v>
      </c>
      <c r="B1592" s="177"/>
      <c r="G1592" s="177"/>
    </row>
    <row r="1593" spans="1:7" x14ac:dyDescent="0.3">
      <c r="A1593" s="182" t="s">
        <v>2125</v>
      </c>
      <c r="B1593" s="177"/>
      <c r="G1593" s="177"/>
    </row>
    <row r="1594" spans="1:7" x14ac:dyDescent="0.3">
      <c r="A1594" s="182" t="s">
        <v>2126</v>
      </c>
      <c r="B1594" s="177"/>
      <c r="G1594" s="177"/>
    </row>
    <row r="1595" spans="1:7" x14ac:dyDescent="0.3">
      <c r="A1595" s="182" t="s">
        <v>2127</v>
      </c>
      <c r="B1595" s="177"/>
      <c r="G1595" s="177"/>
    </row>
    <row r="1596" spans="1:7" x14ac:dyDescent="0.3">
      <c r="A1596" s="182" t="s">
        <v>2128</v>
      </c>
      <c r="B1596" s="177"/>
      <c r="G1596" s="177"/>
    </row>
    <row r="1597" spans="1:7" x14ac:dyDescent="0.3">
      <c r="A1597" s="182" t="s">
        <v>2129</v>
      </c>
      <c r="B1597" s="177"/>
      <c r="G1597" s="177"/>
    </row>
    <row r="1598" spans="1:7" x14ac:dyDescent="0.3">
      <c r="A1598" s="182" t="s">
        <v>2130</v>
      </c>
      <c r="B1598" s="177"/>
      <c r="G1598" s="177"/>
    </row>
    <row r="1599" spans="1:7" x14ac:dyDescent="0.3">
      <c r="A1599" s="182" t="s">
        <v>2131</v>
      </c>
      <c r="B1599" s="177"/>
      <c r="G1599" s="177"/>
    </row>
    <row r="1600" spans="1:7" x14ac:dyDescent="0.3">
      <c r="A1600" s="182" t="s">
        <v>2132</v>
      </c>
      <c r="B1600" s="177"/>
      <c r="G1600" s="177"/>
    </row>
    <row r="1601" spans="1:7" x14ac:dyDescent="0.3">
      <c r="A1601" s="182" t="s">
        <v>2133</v>
      </c>
      <c r="B1601" s="177"/>
      <c r="G1601" s="177"/>
    </row>
    <row r="1602" spans="1:7" x14ac:dyDescent="0.3">
      <c r="A1602" s="182" t="s">
        <v>2134</v>
      </c>
      <c r="B1602" s="177"/>
      <c r="G1602" s="177"/>
    </row>
    <row r="1603" spans="1:7" x14ac:dyDescent="0.3">
      <c r="A1603" s="182" t="s">
        <v>2135</v>
      </c>
      <c r="B1603" s="177"/>
      <c r="G1603" s="177"/>
    </row>
    <row r="1604" spans="1:7" x14ac:dyDescent="0.3">
      <c r="A1604" s="182" t="s">
        <v>2136</v>
      </c>
      <c r="B1604" s="177"/>
      <c r="G1604" s="177"/>
    </row>
    <row r="1605" spans="1:7" x14ac:dyDescent="0.3">
      <c r="A1605" s="182" t="s">
        <v>2137</v>
      </c>
      <c r="B1605" s="177"/>
      <c r="G1605" s="177"/>
    </row>
    <row r="1606" spans="1:7" x14ac:dyDescent="0.3">
      <c r="A1606" s="182" t="s">
        <v>2138</v>
      </c>
      <c r="B1606" s="177"/>
      <c r="G1606" s="177"/>
    </row>
    <row r="1607" spans="1:7" x14ac:dyDescent="0.3">
      <c r="A1607" s="182" t="s">
        <v>2139</v>
      </c>
      <c r="B1607" s="177"/>
      <c r="G1607" s="177"/>
    </row>
    <row r="1608" spans="1:7" x14ac:dyDescent="0.3">
      <c r="A1608" s="182" t="s">
        <v>2140</v>
      </c>
      <c r="B1608" s="177"/>
      <c r="G1608" s="177"/>
    </row>
    <row r="1609" spans="1:7" x14ac:dyDescent="0.3">
      <c r="A1609" s="182" t="s">
        <v>2141</v>
      </c>
      <c r="B1609" s="177"/>
      <c r="G1609" s="177"/>
    </row>
    <row r="1610" spans="1:7" x14ac:dyDescent="0.3">
      <c r="A1610" s="182" t="s">
        <v>2142</v>
      </c>
      <c r="B1610" s="177"/>
      <c r="G1610" s="177"/>
    </row>
    <row r="1611" spans="1:7" x14ac:dyDescent="0.3">
      <c r="A1611" s="182" t="s">
        <v>2143</v>
      </c>
      <c r="B1611" s="177"/>
      <c r="G1611" s="177"/>
    </row>
    <row r="1612" spans="1:7" x14ac:dyDescent="0.3">
      <c r="A1612" s="182" t="s">
        <v>2144</v>
      </c>
      <c r="B1612" s="177"/>
      <c r="G1612" s="177"/>
    </row>
    <row r="1613" spans="1:7" x14ac:dyDescent="0.3">
      <c r="A1613" s="182" t="s">
        <v>2145</v>
      </c>
      <c r="B1613" s="177"/>
      <c r="G1613" s="177"/>
    </row>
    <row r="1614" spans="1:7" x14ac:dyDescent="0.3">
      <c r="A1614" s="182" t="s">
        <v>2146</v>
      </c>
      <c r="B1614" s="177"/>
      <c r="G1614" s="177"/>
    </row>
    <row r="1615" spans="1:7" x14ac:dyDescent="0.3">
      <c r="A1615" s="182" t="s">
        <v>2147</v>
      </c>
      <c r="B1615" s="177"/>
      <c r="G1615" s="177"/>
    </row>
    <row r="1616" spans="1:7" x14ac:dyDescent="0.3">
      <c r="A1616" s="182" t="s">
        <v>2148</v>
      </c>
      <c r="B1616" s="177"/>
      <c r="G1616" s="177"/>
    </row>
    <row r="1617" spans="1:7" x14ac:dyDescent="0.3">
      <c r="A1617" s="182" t="s">
        <v>2149</v>
      </c>
      <c r="B1617" s="177"/>
      <c r="G1617" s="177"/>
    </row>
    <row r="1618" spans="1:7" x14ac:dyDescent="0.3">
      <c r="A1618" s="182" t="s">
        <v>2150</v>
      </c>
      <c r="B1618" s="177"/>
      <c r="G1618" s="177"/>
    </row>
    <row r="1619" spans="1:7" x14ac:dyDescent="0.3">
      <c r="A1619" s="182" t="s">
        <v>2151</v>
      </c>
      <c r="B1619" s="177"/>
      <c r="G1619" s="177"/>
    </row>
    <row r="1620" spans="1:7" x14ac:dyDescent="0.3">
      <c r="A1620" s="182" t="s">
        <v>2152</v>
      </c>
      <c r="B1620" s="177"/>
      <c r="G1620" s="177"/>
    </row>
    <row r="1621" spans="1:7" x14ac:dyDescent="0.3">
      <c r="A1621" s="182" t="s">
        <v>2153</v>
      </c>
      <c r="B1621" s="177"/>
      <c r="G1621" s="177"/>
    </row>
    <row r="1622" spans="1:7" x14ac:dyDescent="0.3">
      <c r="A1622" s="182" t="s">
        <v>2154</v>
      </c>
      <c r="B1622" s="177"/>
      <c r="G1622" s="177"/>
    </row>
    <row r="1623" spans="1:7" x14ac:dyDescent="0.3">
      <c r="A1623" s="182" t="s">
        <v>2155</v>
      </c>
      <c r="B1623" s="177"/>
      <c r="G1623" s="177"/>
    </row>
    <row r="1624" spans="1:7" x14ac:dyDescent="0.3">
      <c r="A1624" s="182" t="s">
        <v>2156</v>
      </c>
      <c r="B1624" s="177"/>
      <c r="G1624" s="177"/>
    </row>
    <row r="1625" spans="1:7" x14ac:dyDescent="0.3">
      <c r="A1625" s="182" t="s">
        <v>2157</v>
      </c>
      <c r="B1625" s="177"/>
      <c r="G1625" s="177"/>
    </row>
    <row r="1626" spans="1:7" x14ac:dyDescent="0.3">
      <c r="A1626" s="182" t="s">
        <v>2158</v>
      </c>
      <c r="B1626" s="177"/>
      <c r="G1626" s="177"/>
    </row>
    <row r="1627" spans="1:7" x14ac:dyDescent="0.3">
      <c r="A1627" s="182" t="s">
        <v>2159</v>
      </c>
      <c r="B1627" s="177"/>
      <c r="G1627" s="177"/>
    </row>
    <row r="1628" spans="1:7" x14ac:dyDescent="0.3">
      <c r="A1628" s="182" t="s">
        <v>2160</v>
      </c>
      <c r="B1628" s="177"/>
      <c r="G1628" s="177"/>
    </row>
    <row r="1629" spans="1:7" x14ac:dyDescent="0.3">
      <c r="A1629" s="182" t="s">
        <v>2161</v>
      </c>
      <c r="B1629" s="177"/>
      <c r="G1629" s="177"/>
    </row>
    <row r="1630" spans="1:7" x14ac:dyDescent="0.3">
      <c r="A1630" s="182" t="s">
        <v>2162</v>
      </c>
      <c r="B1630" s="177"/>
      <c r="G1630" s="177"/>
    </row>
    <row r="1631" spans="1:7" x14ac:dyDescent="0.3">
      <c r="A1631" s="182" t="s">
        <v>2163</v>
      </c>
      <c r="B1631" s="177"/>
      <c r="G1631" s="177"/>
    </row>
    <row r="1632" spans="1:7" x14ac:dyDescent="0.3">
      <c r="A1632" s="182" t="s">
        <v>2164</v>
      </c>
      <c r="B1632" s="177"/>
      <c r="G1632" s="177"/>
    </row>
    <row r="1633" spans="1:7" x14ac:dyDescent="0.3">
      <c r="A1633" s="182" t="s">
        <v>2165</v>
      </c>
      <c r="B1633" s="177"/>
      <c r="G1633" s="177"/>
    </row>
    <row r="1634" spans="1:7" x14ac:dyDescent="0.3">
      <c r="A1634" s="182" t="s">
        <v>2166</v>
      </c>
      <c r="B1634" s="177"/>
      <c r="G1634" s="177"/>
    </row>
    <row r="1635" spans="1:7" x14ac:dyDescent="0.3">
      <c r="A1635" s="182" t="s">
        <v>2167</v>
      </c>
      <c r="B1635" s="177"/>
      <c r="G1635" s="177"/>
    </row>
    <row r="1636" spans="1:7" x14ac:dyDescent="0.3">
      <c r="A1636" s="182" t="s">
        <v>2168</v>
      </c>
      <c r="B1636" s="177"/>
      <c r="G1636" s="177"/>
    </row>
    <row r="1637" spans="1:7" x14ac:dyDescent="0.3">
      <c r="A1637" s="182" t="s">
        <v>2169</v>
      </c>
      <c r="B1637" s="177"/>
      <c r="G1637" s="177"/>
    </row>
    <row r="1638" spans="1:7" x14ac:dyDescent="0.3">
      <c r="A1638" s="182" t="s">
        <v>2170</v>
      </c>
      <c r="B1638" s="177"/>
      <c r="G1638" s="177"/>
    </row>
    <row r="1639" spans="1:7" x14ac:dyDescent="0.3">
      <c r="A1639" s="182" t="s">
        <v>2171</v>
      </c>
      <c r="B1639" s="177"/>
      <c r="G1639" s="177"/>
    </row>
    <row r="1640" spans="1:7" x14ac:dyDescent="0.3">
      <c r="A1640" s="182" t="s">
        <v>2172</v>
      </c>
      <c r="B1640" s="177"/>
      <c r="G1640" s="177"/>
    </row>
    <row r="1641" spans="1:7" x14ac:dyDescent="0.3">
      <c r="A1641" s="182" t="s">
        <v>2173</v>
      </c>
      <c r="B1641" s="177"/>
      <c r="G1641" s="177"/>
    </row>
    <row r="1642" spans="1:7" x14ac:dyDescent="0.3">
      <c r="A1642" s="182" t="s">
        <v>2174</v>
      </c>
      <c r="B1642" s="177"/>
      <c r="G1642" s="177"/>
    </row>
    <row r="1643" spans="1:7" x14ac:dyDescent="0.3">
      <c r="A1643" s="182" t="s">
        <v>2175</v>
      </c>
      <c r="B1643" s="177"/>
      <c r="G1643" s="177"/>
    </row>
    <row r="1644" spans="1:7" x14ac:dyDescent="0.3">
      <c r="A1644" s="182" t="s">
        <v>2176</v>
      </c>
      <c r="B1644" s="177"/>
      <c r="G1644" s="177"/>
    </row>
    <row r="1645" spans="1:7" x14ac:dyDescent="0.3">
      <c r="A1645" s="182" t="s">
        <v>2177</v>
      </c>
      <c r="B1645" s="177"/>
      <c r="G1645" s="177"/>
    </row>
    <row r="1646" spans="1:7" x14ac:dyDescent="0.3">
      <c r="A1646" s="182" t="s">
        <v>2178</v>
      </c>
      <c r="B1646" s="177"/>
      <c r="G1646" s="177"/>
    </row>
    <row r="1647" spans="1:7" x14ac:dyDescent="0.3">
      <c r="A1647" s="182" t="s">
        <v>2179</v>
      </c>
      <c r="B1647" s="177"/>
      <c r="G1647" s="177"/>
    </row>
    <row r="1648" spans="1:7" x14ac:dyDescent="0.3">
      <c r="A1648" s="182" t="s">
        <v>2180</v>
      </c>
      <c r="B1648" s="177"/>
      <c r="G1648" s="177"/>
    </row>
    <row r="1649" spans="1:7" x14ac:dyDescent="0.3">
      <c r="A1649" s="182" t="s">
        <v>2181</v>
      </c>
      <c r="B1649" s="177"/>
      <c r="G1649" s="177"/>
    </row>
    <row r="1650" spans="1:7" x14ac:dyDescent="0.3">
      <c r="A1650" s="182" t="s">
        <v>2182</v>
      </c>
      <c r="B1650" s="177"/>
      <c r="G1650" s="177"/>
    </row>
    <row r="1651" spans="1:7" x14ac:dyDescent="0.3">
      <c r="A1651" s="182" t="s">
        <v>2183</v>
      </c>
      <c r="B1651" s="177"/>
      <c r="G1651" s="177"/>
    </row>
    <row r="1652" spans="1:7" x14ac:dyDescent="0.3">
      <c r="A1652" s="182" t="s">
        <v>2184</v>
      </c>
      <c r="B1652" s="177"/>
      <c r="G1652" s="177"/>
    </row>
    <row r="1653" spans="1:7" x14ac:dyDescent="0.3">
      <c r="A1653" s="182" t="s">
        <v>2185</v>
      </c>
      <c r="B1653" s="177"/>
      <c r="G1653" s="177"/>
    </row>
    <row r="1654" spans="1:7" x14ac:dyDescent="0.3">
      <c r="A1654" s="182" t="s">
        <v>2186</v>
      </c>
      <c r="B1654" s="177"/>
      <c r="G1654" s="177"/>
    </row>
    <row r="1655" spans="1:7" x14ac:dyDescent="0.3">
      <c r="A1655" s="182" t="s">
        <v>2187</v>
      </c>
      <c r="B1655" s="177"/>
      <c r="G1655" s="177"/>
    </row>
    <row r="1656" spans="1:7" x14ac:dyDescent="0.3">
      <c r="A1656" s="182" t="s">
        <v>2188</v>
      </c>
      <c r="B1656" s="177"/>
      <c r="G1656" s="177"/>
    </row>
    <row r="1657" spans="1:7" x14ac:dyDescent="0.3">
      <c r="A1657" s="182" t="s">
        <v>2189</v>
      </c>
      <c r="B1657" s="177"/>
      <c r="G1657" s="177"/>
    </row>
    <row r="1658" spans="1:7" x14ac:dyDescent="0.3">
      <c r="A1658" s="182" t="s">
        <v>2190</v>
      </c>
      <c r="B1658" s="177"/>
      <c r="G1658" s="177"/>
    </row>
    <row r="1659" spans="1:7" x14ac:dyDescent="0.3">
      <c r="A1659" s="182" t="s">
        <v>2191</v>
      </c>
      <c r="B1659" s="177"/>
      <c r="G1659" s="177"/>
    </row>
    <row r="1660" spans="1:7" x14ac:dyDescent="0.3">
      <c r="A1660" s="182" t="s">
        <v>2192</v>
      </c>
      <c r="B1660" s="177"/>
      <c r="G1660" s="177"/>
    </row>
    <row r="1661" spans="1:7" x14ac:dyDescent="0.3">
      <c r="A1661" s="182" t="s">
        <v>2193</v>
      </c>
      <c r="B1661" s="177"/>
      <c r="G1661" s="177"/>
    </row>
    <row r="1662" spans="1:7" x14ac:dyDescent="0.3">
      <c r="A1662" s="182" t="s">
        <v>2194</v>
      </c>
      <c r="B1662" s="177"/>
      <c r="G1662" s="177"/>
    </row>
    <row r="1663" spans="1:7" x14ac:dyDescent="0.3">
      <c r="A1663" s="182" t="s">
        <v>2195</v>
      </c>
      <c r="B1663" s="177"/>
      <c r="G1663" s="177"/>
    </row>
    <row r="1664" spans="1:7" x14ac:dyDescent="0.3">
      <c r="A1664" s="182" t="s">
        <v>2196</v>
      </c>
      <c r="B1664" s="177"/>
      <c r="G1664" s="177"/>
    </row>
    <row r="1665" spans="1:7" x14ac:dyDescent="0.3">
      <c r="A1665" s="182" t="s">
        <v>2197</v>
      </c>
      <c r="B1665" s="177"/>
      <c r="G1665" s="177"/>
    </row>
    <row r="1666" spans="1:7" x14ac:dyDescent="0.3">
      <c r="A1666" s="182" t="s">
        <v>2198</v>
      </c>
      <c r="B1666" s="177"/>
      <c r="G1666" s="177"/>
    </row>
    <row r="1667" spans="1:7" x14ac:dyDescent="0.3">
      <c r="A1667" s="182" t="s">
        <v>2199</v>
      </c>
      <c r="B1667" s="177"/>
      <c r="G1667" s="177"/>
    </row>
    <row r="1668" spans="1:7" x14ac:dyDescent="0.3">
      <c r="A1668" s="182" t="s">
        <v>2200</v>
      </c>
      <c r="B1668" s="177"/>
      <c r="G1668" s="177"/>
    </row>
    <row r="1669" spans="1:7" x14ac:dyDescent="0.3">
      <c r="A1669" s="182" t="s">
        <v>2201</v>
      </c>
      <c r="B1669" s="177"/>
      <c r="G1669" s="177"/>
    </row>
    <row r="1670" spans="1:7" x14ac:dyDescent="0.3">
      <c r="A1670" s="182" t="s">
        <v>2202</v>
      </c>
      <c r="B1670" s="177"/>
      <c r="G1670" s="177"/>
    </row>
    <row r="1671" spans="1:7" x14ac:dyDescent="0.3">
      <c r="A1671" s="182" t="s">
        <v>2203</v>
      </c>
      <c r="B1671" s="177"/>
      <c r="G1671" s="177"/>
    </row>
    <row r="1672" spans="1:7" x14ac:dyDescent="0.3">
      <c r="A1672" s="182" t="s">
        <v>2204</v>
      </c>
      <c r="B1672" s="177"/>
      <c r="G1672" s="177"/>
    </row>
    <row r="1673" spans="1:7" x14ac:dyDescent="0.3">
      <c r="A1673" s="182" t="s">
        <v>2205</v>
      </c>
      <c r="B1673" s="177"/>
      <c r="G1673" s="177"/>
    </row>
    <row r="1674" spans="1:7" x14ac:dyDescent="0.3">
      <c r="A1674" s="182" t="s">
        <v>2206</v>
      </c>
      <c r="B1674" s="177"/>
      <c r="G1674" s="177"/>
    </row>
    <row r="1675" spans="1:7" x14ac:dyDescent="0.3">
      <c r="A1675" s="182" t="s">
        <v>2207</v>
      </c>
      <c r="B1675" s="177"/>
      <c r="G1675" s="177"/>
    </row>
    <row r="1676" spans="1:7" x14ac:dyDescent="0.3">
      <c r="A1676" s="182" t="s">
        <v>2208</v>
      </c>
      <c r="B1676" s="177"/>
      <c r="G1676" s="177"/>
    </row>
    <row r="1677" spans="1:7" x14ac:dyDescent="0.3">
      <c r="A1677" s="182" t="s">
        <v>2209</v>
      </c>
      <c r="B1677" s="177"/>
      <c r="G1677" s="177"/>
    </row>
    <row r="1678" spans="1:7" x14ac:dyDescent="0.3">
      <c r="A1678" s="182" t="s">
        <v>2210</v>
      </c>
      <c r="B1678" s="177"/>
      <c r="G1678" s="177"/>
    </row>
    <row r="1679" spans="1:7" x14ac:dyDescent="0.3">
      <c r="A1679" s="182" t="s">
        <v>2211</v>
      </c>
      <c r="B1679" s="177"/>
      <c r="G1679" s="177"/>
    </row>
    <row r="1680" spans="1:7" x14ac:dyDescent="0.3">
      <c r="A1680" s="182" t="s">
        <v>2212</v>
      </c>
      <c r="B1680" s="177"/>
      <c r="G1680" s="177"/>
    </row>
    <row r="1681" spans="1:7" x14ac:dyDescent="0.3">
      <c r="A1681" s="182" t="s">
        <v>2213</v>
      </c>
      <c r="B1681" s="177"/>
      <c r="G1681" s="177"/>
    </row>
    <row r="1682" spans="1:7" x14ac:dyDescent="0.3">
      <c r="A1682" s="182" t="s">
        <v>2214</v>
      </c>
      <c r="B1682" s="177"/>
      <c r="G1682" s="177"/>
    </row>
    <row r="1683" spans="1:7" x14ac:dyDescent="0.3">
      <c r="A1683" s="182" t="s">
        <v>2215</v>
      </c>
      <c r="B1683" s="177"/>
      <c r="G1683" s="177"/>
    </row>
    <row r="1684" spans="1:7" x14ac:dyDescent="0.3">
      <c r="A1684" s="182" t="s">
        <v>2216</v>
      </c>
      <c r="B1684" s="177"/>
      <c r="G1684" s="177"/>
    </row>
    <row r="1685" spans="1:7" x14ac:dyDescent="0.3">
      <c r="A1685" s="182" t="s">
        <v>2217</v>
      </c>
      <c r="B1685" s="177"/>
      <c r="G1685" s="177"/>
    </row>
    <row r="1686" spans="1:7" x14ac:dyDescent="0.3">
      <c r="A1686" s="182" t="s">
        <v>2218</v>
      </c>
      <c r="B1686" s="177"/>
      <c r="G1686" s="177"/>
    </row>
    <row r="1687" spans="1:7" x14ac:dyDescent="0.3">
      <c r="A1687" s="182" t="s">
        <v>2219</v>
      </c>
      <c r="B1687" s="177"/>
      <c r="G1687" s="177"/>
    </row>
    <row r="1688" spans="1:7" x14ac:dyDescent="0.3">
      <c r="A1688" s="182" t="s">
        <v>2220</v>
      </c>
      <c r="B1688" s="177"/>
      <c r="G1688" s="177"/>
    </row>
    <row r="1689" spans="1:7" x14ac:dyDescent="0.3">
      <c r="A1689" s="182" t="s">
        <v>2221</v>
      </c>
      <c r="B1689" s="177"/>
      <c r="G1689" s="177"/>
    </row>
    <row r="1690" spans="1:7" x14ac:dyDescent="0.3">
      <c r="A1690" s="182" t="s">
        <v>2222</v>
      </c>
      <c r="B1690" s="177"/>
      <c r="G1690" s="177"/>
    </row>
    <row r="1691" spans="1:7" x14ac:dyDescent="0.3">
      <c r="A1691" s="182" t="s">
        <v>2223</v>
      </c>
      <c r="B1691" s="177"/>
      <c r="G1691" s="177"/>
    </row>
    <row r="1692" spans="1:7" x14ac:dyDescent="0.3">
      <c r="A1692" s="182" t="s">
        <v>2224</v>
      </c>
      <c r="B1692" s="177"/>
      <c r="G1692" s="177"/>
    </row>
    <row r="1693" spans="1:7" x14ac:dyDescent="0.3">
      <c r="A1693" s="182" t="s">
        <v>2225</v>
      </c>
      <c r="B1693" s="177"/>
      <c r="G1693" s="177"/>
    </row>
    <row r="1694" spans="1:7" x14ac:dyDescent="0.3">
      <c r="A1694" s="182" t="s">
        <v>2226</v>
      </c>
      <c r="B1694" s="177"/>
      <c r="G1694" s="177"/>
    </row>
    <row r="1695" spans="1:7" x14ac:dyDescent="0.3">
      <c r="A1695" s="182" t="s">
        <v>2227</v>
      </c>
      <c r="B1695" s="177"/>
      <c r="G1695" s="177"/>
    </row>
    <row r="1696" spans="1:7" x14ac:dyDescent="0.3">
      <c r="A1696" s="182" t="s">
        <v>2228</v>
      </c>
      <c r="B1696" s="177"/>
      <c r="G1696" s="177"/>
    </row>
    <row r="1697" spans="1:7" x14ac:dyDescent="0.3">
      <c r="A1697" s="182" t="s">
        <v>2229</v>
      </c>
      <c r="B1697" s="177"/>
      <c r="G1697" s="177"/>
    </row>
    <row r="1698" spans="1:7" x14ac:dyDescent="0.3">
      <c r="A1698" s="182" t="s">
        <v>2230</v>
      </c>
      <c r="B1698" s="177"/>
      <c r="G1698" s="177"/>
    </row>
    <row r="1699" spans="1:7" x14ac:dyDescent="0.3">
      <c r="A1699" s="182" t="s">
        <v>2231</v>
      </c>
      <c r="B1699" s="177"/>
      <c r="G1699" s="177"/>
    </row>
    <row r="1700" spans="1:7" x14ac:dyDescent="0.3">
      <c r="A1700" s="182" t="s">
        <v>2232</v>
      </c>
      <c r="B1700" s="177"/>
      <c r="G1700" s="177"/>
    </row>
    <row r="1701" spans="1:7" x14ac:dyDescent="0.3">
      <c r="A1701" s="182" t="s">
        <v>2233</v>
      </c>
      <c r="B1701" s="177"/>
      <c r="G1701" s="177"/>
    </row>
    <row r="1702" spans="1:7" x14ac:dyDescent="0.3">
      <c r="A1702" s="182" t="s">
        <v>2234</v>
      </c>
      <c r="B1702" s="177"/>
      <c r="G1702" s="177"/>
    </row>
    <row r="1703" spans="1:7" x14ac:dyDescent="0.3">
      <c r="A1703" s="182" t="s">
        <v>2235</v>
      </c>
      <c r="B1703" s="177"/>
      <c r="G1703" s="177"/>
    </row>
    <row r="1704" spans="1:7" x14ac:dyDescent="0.3">
      <c r="A1704" s="182" t="s">
        <v>2236</v>
      </c>
      <c r="B1704" s="177"/>
      <c r="G1704" s="177"/>
    </row>
    <row r="1705" spans="1:7" x14ac:dyDescent="0.3">
      <c r="A1705" s="182" t="s">
        <v>2237</v>
      </c>
      <c r="B1705" s="177"/>
      <c r="G1705" s="177"/>
    </row>
    <row r="1706" spans="1:7" x14ac:dyDescent="0.3">
      <c r="A1706" s="182" t="s">
        <v>2238</v>
      </c>
      <c r="B1706" s="177"/>
      <c r="G1706" s="177"/>
    </row>
    <row r="1707" spans="1:7" x14ac:dyDescent="0.3">
      <c r="A1707" s="182" t="s">
        <v>2239</v>
      </c>
      <c r="B1707" s="177"/>
      <c r="G1707" s="177"/>
    </row>
    <row r="1708" spans="1:7" x14ac:dyDescent="0.3">
      <c r="A1708" s="182" t="s">
        <v>2240</v>
      </c>
      <c r="B1708" s="177"/>
      <c r="G1708" s="177"/>
    </row>
    <row r="1709" spans="1:7" x14ac:dyDescent="0.3">
      <c r="A1709" s="182" t="s">
        <v>2241</v>
      </c>
      <c r="B1709" s="177"/>
      <c r="G1709" s="177"/>
    </row>
    <row r="1710" spans="1:7" x14ac:dyDescent="0.3">
      <c r="A1710" s="182" t="s">
        <v>2242</v>
      </c>
      <c r="B1710" s="177"/>
      <c r="G1710" s="177"/>
    </row>
    <row r="1711" spans="1:7" x14ac:dyDescent="0.3">
      <c r="A1711" s="182" t="s">
        <v>2243</v>
      </c>
      <c r="B1711" s="177"/>
      <c r="G1711" s="177"/>
    </row>
    <row r="1712" spans="1:7" x14ac:dyDescent="0.3">
      <c r="A1712" s="182" t="s">
        <v>2244</v>
      </c>
      <c r="B1712" s="177"/>
      <c r="G1712" s="177"/>
    </row>
    <row r="1713" spans="1:7" x14ac:dyDescent="0.3">
      <c r="A1713" s="182" t="s">
        <v>2245</v>
      </c>
      <c r="B1713" s="177"/>
      <c r="G1713" s="177"/>
    </row>
    <row r="1714" spans="1:7" x14ac:dyDescent="0.3">
      <c r="A1714" s="182" t="s">
        <v>2246</v>
      </c>
      <c r="B1714" s="177"/>
      <c r="G1714" s="177"/>
    </row>
    <row r="1715" spans="1:7" x14ac:dyDescent="0.3">
      <c r="A1715" s="182" t="s">
        <v>2247</v>
      </c>
      <c r="B1715" s="177"/>
      <c r="G1715" s="177"/>
    </row>
    <row r="1716" spans="1:7" x14ac:dyDescent="0.3">
      <c r="A1716" s="182" t="s">
        <v>2248</v>
      </c>
      <c r="B1716" s="177"/>
      <c r="G1716" s="177"/>
    </row>
    <row r="1717" spans="1:7" x14ac:dyDescent="0.3">
      <c r="A1717" s="182" t="s">
        <v>2249</v>
      </c>
      <c r="B1717" s="177"/>
      <c r="G1717" s="177"/>
    </row>
    <row r="1718" spans="1:7" x14ac:dyDescent="0.3">
      <c r="A1718" s="182" t="s">
        <v>2250</v>
      </c>
      <c r="B1718" s="177"/>
      <c r="G1718" s="177"/>
    </row>
    <row r="1719" spans="1:7" x14ac:dyDescent="0.3">
      <c r="A1719" s="182" t="s">
        <v>2251</v>
      </c>
      <c r="B1719" s="177"/>
      <c r="G1719" s="177"/>
    </row>
    <row r="1720" spans="1:7" x14ac:dyDescent="0.3">
      <c r="A1720" s="182" t="s">
        <v>2252</v>
      </c>
      <c r="B1720" s="177"/>
      <c r="G1720" s="177"/>
    </row>
    <row r="1721" spans="1:7" x14ac:dyDescent="0.3">
      <c r="A1721" s="182" t="s">
        <v>2253</v>
      </c>
      <c r="B1721" s="177"/>
      <c r="G1721" s="177"/>
    </row>
    <row r="1722" spans="1:7" x14ac:dyDescent="0.3">
      <c r="A1722" s="182" t="s">
        <v>2254</v>
      </c>
      <c r="B1722" s="177"/>
      <c r="G1722" s="177"/>
    </row>
    <row r="1723" spans="1:7" x14ac:dyDescent="0.3">
      <c r="A1723" s="182" t="s">
        <v>2255</v>
      </c>
      <c r="B1723" s="177"/>
      <c r="G1723" s="177"/>
    </row>
    <row r="1724" spans="1:7" x14ac:dyDescent="0.3">
      <c r="A1724" s="182" t="s">
        <v>2256</v>
      </c>
      <c r="B1724" s="177"/>
      <c r="G1724" s="177"/>
    </row>
    <row r="1725" spans="1:7" x14ac:dyDescent="0.3">
      <c r="A1725" s="182" t="s">
        <v>2257</v>
      </c>
      <c r="B1725" s="177"/>
      <c r="G1725" s="177"/>
    </row>
    <row r="1726" spans="1:7" x14ac:dyDescent="0.3">
      <c r="A1726" s="182" t="s">
        <v>2258</v>
      </c>
      <c r="B1726" s="177"/>
      <c r="G1726" s="177"/>
    </row>
    <row r="1727" spans="1:7" x14ac:dyDescent="0.3">
      <c r="A1727" s="182" t="s">
        <v>2259</v>
      </c>
      <c r="B1727" s="177"/>
      <c r="G1727" s="177"/>
    </row>
    <row r="1728" spans="1:7" x14ac:dyDescent="0.3">
      <c r="A1728" s="182" t="s">
        <v>2260</v>
      </c>
      <c r="B1728" s="177"/>
      <c r="G1728" s="177"/>
    </row>
    <row r="1729" spans="1:7" x14ac:dyDescent="0.3">
      <c r="A1729" s="182" t="s">
        <v>2261</v>
      </c>
      <c r="B1729" s="177"/>
      <c r="G1729" s="177"/>
    </row>
    <row r="1730" spans="1:7" x14ac:dyDescent="0.3">
      <c r="A1730" s="182" t="s">
        <v>2262</v>
      </c>
      <c r="B1730" s="177"/>
      <c r="G1730" s="177"/>
    </row>
    <row r="1731" spans="1:7" x14ac:dyDescent="0.3">
      <c r="A1731" s="182" t="s">
        <v>2263</v>
      </c>
      <c r="B1731" s="177"/>
      <c r="G1731" s="177"/>
    </row>
    <row r="1732" spans="1:7" x14ac:dyDescent="0.3">
      <c r="A1732" s="182" t="s">
        <v>2264</v>
      </c>
      <c r="B1732" s="177"/>
      <c r="G1732" s="177"/>
    </row>
    <row r="1733" spans="1:7" x14ac:dyDescent="0.3">
      <c r="A1733" s="182" t="s">
        <v>2265</v>
      </c>
      <c r="B1733" s="177"/>
      <c r="G1733" s="177"/>
    </row>
    <row r="1734" spans="1:7" x14ac:dyDescent="0.3">
      <c r="A1734" s="182" t="s">
        <v>2266</v>
      </c>
      <c r="B1734" s="177"/>
      <c r="G1734" s="177"/>
    </row>
    <row r="1735" spans="1:7" x14ac:dyDescent="0.3">
      <c r="A1735" s="182" t="s">
        <v>2267</v>
      </c>
      <c r="B1735" s="177"/>
      <c r="G1735" s="177"/>
    </row>
    <row r="1736" spans="1:7" x14ac:dyDescent="0.3">
      <c r="A1736" s="182" t="s">
        <v>2268</v>
      </c>
      <c r="B1736" s="177"/>
      <c r="G1736" s="177"/>
    </row>
    <row r="1737" spans="1:7" x14ac:dyDescent="0.3">
      <c r="A1737" s="182" t="s">
        <v>2269</v>
      </c>
      <c r="B1737" s="177"/>
      <c r="G1737" s="177"/>
    </row>
    <row r="1738" spans="1:7" x14ac:dyDescent="0.3">
      <c r="A1738" s="182" t="s">
        <v>2270</v>
      </c>
      <c r="B1738" s="177"/>
      <c r="G1738" s="177"/>
    </row>
    <row r="1739" spans="1:7" x14ac:dyDescent="0.3">
      <c r="A1739" s="182" t="s">
        <v>2271</v>
      </c>
      <c r="B1739" s="177"/>
      <c r="G1739" s="177"/>
    </row>
    <row r="1740" spans="1:7" x14ac:dyDescent="0.3">
      <c r="A1740" s="182" t="s">
        <v>2272</v>
      </c>
      <c r="B1740" s="177"/>
      <c r="G1740" s="177"/>
    </row>
    <row r="1741" spans="1:7" x14ac:dyDescent="0.3">
      <c r="A1741" s="182" t="s">
        <v>2273</v>
      </c>
      <c r="B1741" s="177"/>
      <c r="G1741" s="177"/>
    </row>
    <row r="1742" spans="1:7" x14ac:dyDescent="0.3">
      <c r="A1742" s="182" t="s">
        <v>2274</v>
      </c>
      <c r="B1742" s="177"/>
      <c r="G1742" s="177"/>
    </row>
    <row r="1743" spans="1:7" x14ac:dyDescent="0.3">
      <c r="A1743" s="182" t="s">
        <v>2275</v>
      </c>
      <c r="B1743" s="177"/>
      <c r="G1743" s="177"/>
    </row>
    <row r="1744" spans="1:7" x14ac:dyDescent="0.3">
      <c r="A1744" s="182" t="s">
        <v>2276</v>
      </c>
      <c r="B1744" s="177"/>
      <c r="G1744" s="177"/>
    </row>
    <row r="1745" spans="1:7" x14ac:dyDescent="0.3">
      <c r="A1745" s="182" t="s">
        <v>2277</v>
      </c>
      <c r="B1745" s="177"/>
      <c r="G1745" s="177"/>
    </row>
    <row r="1746" spans="1:7" x14ac:dyDescent="0.3">
      <c r="A1746" s="182" t="s">
        <v>2278</v>
      </c>
      <c r="B1746" s="177"/>
      <c r="G1746" s="177"/>
    </row>
    <row r="1747" spans="1:7" x14ac:dyDescent="0.3">
      <c r="A1747" s="182" t="s">
        <v>2279</v>
      </c>
      <c r="B1747" s="177"/>
      <c r="G1747" s="177"/>
    </row>
    <row r="1748" spans="1:7" x14ac:dyDescent="0.3">
      <c r="A1748" s="182" t="s">
        <v>2280</v>
      </c>
      <c r="B1748" s="177"/>
      <c r="G1748" s="177"/>
    </row>
    <row r="1749" spans="1:7" x14ac:dyDescent="0.3">
      <c r="A1749" s="182" t="s">
        <v>2281</v>
      </c>
      <c r="B1749" s="177"/>
      <c r="G1749" s="177"/>
    </row>
    <row r="1750" spans="1:7" x14ac:dyDescent="0.3">
      <c r="A1750" s="182" t="s">
        <v>2282</v>
      </c>
      <c r="B1750" s="177"/>
      <c r="G1750" s="177"/>
    </row>
    <row r="1751" spans="1:7" x14ac:dyDescent="0.3">
      <c r="A1751" s="182" t="s">
        <v>2283</v>
      </c>
      <c r="B1751" s="177"/>
      <c r="G1751" s="177"/>
    </row>
    <row r="1752" spans="1:7" x14ac:dyDescent="0.3">
      <c r="A1752" s="182" t="s">
        <v>2284</v>
      </c>
      <c r="B1752" s="177"/>
      <c r="G1752" s="177"/>
    </row>
    <row r="1753" spans="1:7" x14ac:dyDescent="0.3">
      <c r="A1753" s="182" t="s">
        <v>2285</v>
      </c>
      <c r="B1753" s="177"/>
      <c r="G1753" s="177"/>
    </row>
    <row r="1754" spans="1:7" x14ac:dyDescent="0.3">
      <c r="A1754" s="182" t="s">
        <v>2286</v>
      </c>
      <c r="B1754" s="177"/>
      <c r="G1754" s="177"/>
    </row>
    <row r="1755" spans="1:7" x14ac:dyDescent="0.3">
      <c r="A1755" s="182" t="s">
        <v>2287</v>
      </c>
      <c r="B1755" s="177"/>
      <c r="G1755" s="177"/>
    </row>
    <row r="1756" spans="1:7" x14ac:dyDescent="0.3">
      <c r="A1756" s="182" t="s">
        <v>2288</v>
      </c>
      <c r="B1756" s="177"/>
      <c r="G1756" s="177"/>
    </row>
    <row r="1757" spans="1:7" x14ac:dyDescent="0.3">
      <c r="A1757" s="182" t="s">
        <v>2289</v>
      </c>
      <c r="B1757" s="177"/>
      <c r="G1757" s="177"/>
    </row>
    <row r="1758" spans="1:7" x14ac:dyDescent="0.3">
      <c r="A1758" s="182" t="s">
        <v>2290</v>
      </c>
      <c r="B1758" s="177"/>
      <c r="G1758" s="177"/>
    </row>
    <row r="1759" spans="1:7" x14ac:dyDescent="0.3">
      <c r="A1759" s="182" t="s">
        <v>2291</v>
      </c>
      <c r="B1759" s="177"/>
      <c r="G1759" s="177"/>
    </row>
    <row r="1760" spans="1:7" x14ac:dyDescent="0.3">
      <c r="A1760" s="182" t="s">
        <v>2292</v>
      </c>
      <c r="B1760" s="177"/>
      <c r="G1760" s="177"/>
    </row>
    <row r="1761" spans="1:7" x14ac:dyDescent="0.3">
      <c r="A1761" s="182" t="s">
        <v>2293</v>
      </c>
      <c r="B1761" s="177"/>
      <c r="G1761" s="177"/>
    </row>
    <row r="1762" spans="1:7" x14ac:dyDescent="0.3">
      <c r="A1762" s="182" t="s">
        <v>2294</v>
      </c>
      <c r="B1762" s="177"/>
      <c r="G1762" s="177"/>
    </row>
    <row r="1763" spans="1:7" x14ac:dyDescent="0.3">
      <c r="A1763" s="182" t="s">
        <v>2295</v>
      </c>
      <c r="B1763" s="177"/>
      <c r="G1763" s="177"/>
    </row>
    <row r="1764" spans="1:7" x14ac:dyDescent="0.3">
      <c r="A1764" s="182" t="s">
        <v>2296</v>
      </c>
      <c r="B1764" s="177"/>
      <c r="G1764" s="177"/>
    </row>
    <row r="1765" spans="1:7" x14ac:dyDescent="0.3">
      <c r="A1765" s="182" t="s">
        <v>2297</v>
      </c>
      <c r="B1765" s="177"/>
      <c r="G1765" s="177"/>
    </row>
    <row r="1766" spans="1:7" x14ac:dyDescent="0.3">
      <c r="A1766" s="182" t="s">
        <v>2298</v>
      </c>
      <c r="B1766" s="177"/>
      <c r="G1766" s="177"/>
    </row>
    <row r="1767" spans="1:7" x14ac:dyDescent="0.3">
      <c r="A1767" s="182" t="s">
        <v>2299</v>
      </c>
      <c r="B1767" s="177"/>
      <c r="G1767" s="177"/>
    </row>
    <row r="1768" spans="1:7" x14ac:dyDescent="0.3">
      <c r="A1768" s="182" t="s">
        <v>2300</v>
      </c>
      <c r="B1768" s="177"/>
      <c r="G1768" s="177"/>
    </row>
    <row r="1769" spans="1:7" x14ac:dyDescent="0.3">
      <c r="A1769" s="182" t="s">
        <v>2301</v>
      </c>
      <c r="B1769" s="177"/>
      <c r="G1769" s="177"/>
    </row>
    <row r="1770" spans="1:7" x14ac:dyDescent="0.3">
      <c r="A1770" s="182" t="s">
        <v>2302</v>
      </c>
      <c r="B1770" s="177"/>
      <c r="G1770" s="177"/>
    </row>
    <row r="1771" spans="1:7" x14ac:dyDescent="0.3">
      <c r="A1771" s="182" t="s">
        <v>2303</v>
      </c>
      <c r="B1771" s="177"/>
      <c r="G1771" s="177"/>
    </row>
    <row r="1772" spans="1:7" x14ac:dyDescent="0.3">
      <c r="A1772" s="182" t="s">
        <v>2304</v>
      </c>
      <c r="B1772" s="177"/>
      <c r="G1772" s="177"/>
    </row>
    <row r="1773" spans="1:7" x14ac:dyDescent="0.3">
      <c r="A1773" s="182" t="s">
        <v>2305</v>
      </c>
      <c r="B1773" s="177"/>
      <c r="G1773" s="177"/>
    </row>
    <row r="1774" spans="1:7" x14ac:dyDescent="0.3">
      <c r="A1774" s="182" t="s">
        <v>2306</v>
      </c>
      <c r="B1774" s="177"/>
      <c r="G1774" s="177"/>
    </row>
    <row r="1775" spans="1:7" x14ac:dyDescent="0.3">
      <c r="A1775" s="182" t="s">
        <v>2307</v>
      </c>
      <c r="B1775" s="177"/>
      <c r="G1775" s="177"/>
    </row>
    <row r="1776" spans="1:7" x14ac:dyDescent="0.3">
      <c r="A1776" s="182" t="s">
        <v>2308</v>
      </c>
      <c r="B1776" s="177"/>
      <c r="G1776" s="177"/>
    </row>
    <row r="1777" spans="1:7" x14ac:dyDescent="0.3">
      <c r="A1777" s="182" t="s">
        <v>2309</v>
      </c>
      <c r="B1777" s="177"/>
      <c r="G1777" s="177"/>
    </row>
    <row r="1778" spans="1:7" x14ac:dyDescent="0.3">
      <c r="A1778" s="182" t="s">
        <v>2310</v>
      </c>
      <c r="B1778" s="177"/>
      <c r="G1778" s="177"/>
    </row>
    <row r="1779" spans="1:7" x14ac:dyDescent="0.3">
      <c r="A1779" s="182" t="s">
        <v>2311</v>
      </c>
      <c r="B1779" s="177"/>
      <c r="G1779" s="177"/>
    </row>
    <row r="1780" spans="1:7" x14ac:dyDescent="0.3">
      <c r="A1780" s="182" t="s">
        <v>2312</v>
      </c>
      <c r="B1780" s="177"/>
      <c r="G1780" s="177"/>
    </row>
    <row r="1781" spans="1:7" x14ac:dyDescent="0.3">
      <c r="A1781" s="182" t="s">
        <v>2313</v>
      </c>
      <c r="B1781" s="177"/>
      <c r="G1781" s="177"/>
    </row>
    <row r="1782" spans="1:7" x14ac:dyDescent="0.3">
      <c r="A1782" s="182" t="s">
        <v>2314</v>
      </c>
      <c r="B1782" s="177"/>
      <c r="G1782" s="177"/>
    </row>
    <row r="1783" spans="1:7" x14ac:dyDescent="0.3">
      <c r="A1783" s="182" t="s">
        <v>2315</v>
      </c>
      <c r="B1783" s="177"/>
      <c r="G1783" s="177"/>
    </row>
    <row r="1784" spans="1:7" x14ac:dyDescent="0.3">
      <c r="A1784" s="182" t="s">
        <v>2316</v>
      </c>
      <c r="B1784" s="177"/>
      <c r="G1784" s="177"/>
    </row>
    <row r="1785" spans="1:7" x14ac:dyDescent="0.3">
      <c r="A1785" s="182" t="s">
        <v>2317</v>
      </c>
      <c r="B1785" s="177"/>
      <c r="G1785" s="177"/>
    </row>
    <row r="1786" spans="1:7" x14ac:dyDescent="0.3">
      <c r="A1786" s="182" t="s">
        <v>2318</v>
      </c>
      <c r="B1786" s="177"/>
      <c r="G1786" s="177"/>
    </row>
    <row r="1787" spans="1:7" x14ac:dyDescent="0.3">
      <c r="A1787" s="182" t="s">
        <v>2319</v>
      </c>
      <c r="B1787" s="177"/>
      <c r="G1787" s="177"/>
    </row>
    <row r="1788" spans="1:7" x14ac:dyDescent="0.3">
      <c r="A1788" s="182" t="s">
        <v>2320</v>
      </c>
      <c r="B1788" s="177"/>
      <c r="G1788" s="177"/>
    </row>
    <row r="1789" spans="1:7" x14ac:dyDescent="0.3">
      <c r="A1789" s="182" t="s">
        <v>2321</v>
      </c>
      <c r="B1789" s="177"/>
      <c r="G1789" s="177"/>
    </row>
    <row r="1790" spans="1:7" x14ac:dyDescent="0.3">
      <c r="A1790" s="182" t="s">
        <v>2322</v>
      </c>
      <c r="B1790" s="177"/>
      <c r="G1790" s="177"/>
    </row>
    <row r="1791" spans="1:7" x14ac:dyDescent="0.3">
      <c r="A1791" s="182" t="s">
        <v>2323</v>
      </c>
      <c r="B1791" s="177"/>
      <c r="G1791" s="177"/>
    </row>
    <row r="1792" spans="1:7" x14ac:dyDescent="0.3">
      <c r="A1792" s="182" t="s">
        <v>2324</v>
      </c>
      <c r="B1792" s="177"/>
      <c r="G1792" s="177"/>
    </row>
    <row r="1793" spans="1:7" x14ac:dyDescent="0.3">
      <c r="A1793" s="182" t="s">
        <v>2325</v>
      </c>
      <c r="B1793" s="177"/>
      <c r="G1793" s="177"/>
    </row>
    <row r="1794" spans="1:7" x14ac:dyDescent="0.3">
      <c r="A1794" s="182" t="s">
        <v>2326</v>
      </c>
      <c r="B1794" s="177"/>
      <c r="G1794" s="177"/>
    </row>
    <row r="1795" spans="1:7" x14ac:dyDescent="0.3">
      <c r="A1795" s="182" t="s">
        <v>2327</v>
      </c>
      <c r="B1795" s="177"/>
      <c r="G1795" s="177"/>
    </row>
    <row r="1796" spans="1:7" x14ac:dyDescent="0.3">
      <c r="A1796" s="182" t="s">
        <v>2328</v>
      </c>
      <c r="B1796" s="177"/>
      <c r="G1796" s="177"/>
    </row>
    <row r="1797" spans="1:7" x14ac:dyDescent="0.25">
      <c r="A1797" s="198" t="s">
        <v>2329</v>
      </c>
      <c r="B1797" s="177"/>
      <c r="G1797" s="177"/>
    </row>
    <row r="1798" spans="1:7" x14ac:dyDescent="0.3">
      <c r="A1798" s="182" t="s">
        <v>2330</v>
      </c>
      <c r="B1798" s="177"/>
      <c r="G1798" s="177"/>
    </row>
    <row r="1799" spans="1:7" x14ac:dyDescent="0.3">
      <c r="A1799" s="182" t="s">
        <v>2331</v>
      </c>
      <c r="B1799" s="177"/>
      <c r="G1799" s="177"/>
    </row>
    <row r="1800" spans="1:7" x14ac:dyDescent="0.3">
      <c r="A1800" s="182" t="s">
        <v>2332</v>
      </c>
      <c r="B1800" s="177"/>
      <c r="G1800" s="177"/>
    </row>
    <row r="1801" spans="1:7" x14ac:dyDescent="0.3">
      <c r="A1801" s="182" t="s">
        <v>2333</v>
      </c>
      <c r="B1801" s="177"/>
      <c r="G1801" s="177"/>
    </row>
    <row r="1802" spans="1:7" x14ac:dyDescent="0.3">
      <c r="A1802" s="182" t="s">
        <v>2334</v>
      </c>
      <c r="B1802" s="177"/>
      <c r="G1802" s="177"/>
    </row>
    <row r="1803" spans="1:7" x14ac:dyDescent="0.3">
      <c r="A1803" s="182" t="s">
        <v>2335</v>
      </c>
      <c r="B1803" s="177"/>
      <c r="G1803" s="177"/>
    </row>
    <row r="1804" spans="1:7" x14ac:dyDescent="0.3">
      <c r="A1804" s="182" t="s">
        <v>2336</v>
      </c>
      <c r="B1804" s="177"/>
      <c r="G1804" s="177"/>
    </row>
    <row r="1805" spans="1:7" x14ac:dyDescent="0.3">
      <c r="A1805" s="182" t="s">
        <v>2337</v>
      </c>
      <c r="B1805" s="177"/>
      <c r="G1805" s="177"/>
    </row>
    <row r="1806" spans="1:7" x14ac:dyDescent="0.3">
      <c r="A1806" s="182" t="s">
        <v>2338</v>
      </c>
      <c r="B1806" s="177"/>
      <c r="G1806" s="177"/>
    </row>
    <row r="1807" spans="1:7" x14ac:dyDescent="0.3">
      <c r="A1807" s="182" t="s">
        <v>2339</v>
      </c>
      <c r="B1807" s="177"/>
      <c r="G1807" s="177"/>
    </row>
    <row r="1808" spans="1:7" x14ac:dyDescent="0.3">
      <c r="A1808" s="182" t="s">
        <v>2340</v>
      </c>
      <c r="B1808" s="177"/>
      <c r="G1808" s="177"/>
    </row>
    <row r="1809" spans="1:7" x14ac:dyDescent="0.3">
      <c r="A1809" s="182" t="s">
        <v>2341</v>
      </c>
      <c r="B1809" s="177"/>
      <c r="G1809" s="177"/>
    </row>
    <row r="1810" spans="1:7" x14ac:dyDescent="0.3">
      <c r="A1810" s="182" t="s">
        <v>2342</v>
      </c>
      <c r="B1810" s="177"/>
      <c r="G1810" s="177"/>
    </row>
    <row r="1811" spans="1:7" x14ac:dyDescent="0.3">
      <c r="A1811" s="182" t="s">
        <v>2343</v>
      </c>
      <c r="B1811" s="177"/>
      <c r="G1811" s="177"/>
    </row>
    <row r="1812" spans="1:7" x14ac:dyDescent="0.3">
      <c r="A1812" s="182" t="s">
        <v>2344</v>
      </c>
      <c r="B1812" s="177"/>
      <c r="G1812" s="177"/>
    </row>
    <row r="1813" spans="1:7" x14ac:dyDescent="0.3">
      <c r="A1813" s="182" t="s">
        <v>2345</v>
      </c>
      <c r="B1813" s="177"/>
      <c r="G1813" s="177"/>
    </row>
    <row r="1814" spans="1:7" x14ac:dyDescent="0.3">
      <c r="A1814" s="182" t="s">
        <v>2346</v>
      </c>
      <c r="B1814" s="177"/>
      <c r="G1814" s="177"/>
    </row>
    <row r="1815" spans="1:7" x14ac:dyDescent="0.3">
      <c r="A1815" s="182" t="s">
        <v>2347</v>
      </c>
      <c r="B1815" s="177"/>
      <c r="G1815" s="177"/>
    </row>
    <row r="1816" spans="1:7" x14ac:dyDescent="0.3">
      <c r="A1816" s="182" t="s">
        <v>2348</v>
      </c>
      <c r="B1816" s="177"/>
      <c r="G1816" s="177"/>
    </row>
    <row r="1817" spans="1:7" x14ac:dyDescent="0.3">
      <c r="A1817" s="182" t="s">
        <v>2349</v>
      </c>
      <c r="B1817" s="177"/>
      <c r="G1817" s="177"/>
    </row>
    <row r="1818" spans="1:7" x14ac:dyDescent="0.3">
      <c r="A1818" s="182" t="s">
        <v>2350</v>
      </c>
      <c r="B1818" s="177"/>
      <c r="G1818" s="177"/>
    </row>
    <row r="1819" spans="1:7" x14ac:dyDescent="0.3">
      <c r="A1819" s="182" t="s">
        <v>2351</v>
      </c>
      <c r="B1819" s="177"/>
      <c r="G1819" s="177"/>
    </row>
    <row r="1820" spans="1:7" x14ac:dyDescent="0.3">
      <c r="A1820" s="182" t="s">
        <v>2352</v>
      </c>
      <c r="B1820" s="177"/>
      <c r="G1820" s="177"/>
    </row>
    <row r="1821" spans="1:7" x14ac:dyDescent="0.3">
      <c r="A1821" s="182" t="s">
        <v>2353</v>
      </c>
      <c r="B1821" s="177"/>
      <c r="G1821" s="177"/>
    </row>
    <row r="1822" spans="1:7" x14ac:dyDescent="0.3">
      <c r="A1822" s="182" t="s">
        <v>2354</v>
      </c>
      <c r="B1822" s="177"/>
      <c r="G1822" s="177"/>
    </row>
    <row r="1823" spans="1:7" x14ac:dyDescent="0.3">
      <c r="A1823" s="182" t="s">
        <v>2355</v>
      </c>
      <c r="B1823" s="177"/>
      <c r="G1823" s="177"/>
    </row>
    <row r="1824" spans="1:7" x14ac:dyDescent="0.3">
      <c r="A1824" s="182" t="s">
        <v>2356</v>
      </c>
      <c r="B1824" s="177"/>
      <c r="G1824" s="177"/>
    </row>
    <row r="1825" spans="1:7" x14ac:dyDescent="0.3">
      <c r="A1825" s="182" t="s">
        <v>2357</v>
      </c>
      <c r="B1825" s="177"/>
      <c r="G1825" s="177"/>
    </row>
    <row r="1826" spans="1:7" x14ac:dyDescent="0.3">
      <c r="A1826" s="182" t="s">
        <v>2358</v>
      </c>
      <c r="B1826" s="177"/>
      <c r="G1826" s="177"/>
    </row>
    <row r="1827" spans="1:7" x14ac:dyDescent="0.3">
      <c r="A1827" s="182" t="s">
        <v>2359</v>
      </c>
      <c r="B1827" s="177"/>
      <c r="G1827" s="177"/>
    </row>
    <row r="1828" spans="1:7" x14ac:dyDescent="0.3">
      <c r="A1828" s="182" t="s">
        <v>2360</v>
      </c>
      <c r="B1828" s="177"/>
      <c r="G1828" s="177"/>
    </row>
    <row r="1829" spans="1:7" x14ac:dyDescent="0.3">
      <c r="A1829" s="182" t="s">
        <v>2361</v>
      </c>
      <c r="B1829" s="177"/>
      <c r="G1829" s="177"/>
    </row>
    <row r="1830" spans="1:7" x14ac:dyDescent="0.3">
      <c r="A1830" s="182" t="s">
        <v>2362</v>
      </c>
      <c r="B1830" s="177"/>
      <c r="G1830" s="177"/>
    </row>
    <row r="1831" spans="1:7" x14ac:dyDescent="0.3">
      <c r="A1831" s="182" t="s">
        <v>2363</v>
      </c>
      <c r="B1831" s="177"/>
      <c r="G1831" s="177"/>
    </row>
    <row r="1832" spans="1:7" x14ac:dyDescent="0.3">
      <c r="A1832" s="182" t="s">
        <v>2364</v>
      </c>
      <c r="B1832" s="177"/>
      <c r="G1832" s="177"/>
    </row>
    <row r="1833" spans="1:7" x14ac:dyDescent="0.3">
      <c r="A1833" s="182" t="s">
        <v>2365</v>
      </c>
      <c r="B1833" s="177"/>
      <c r="G1833" s="177"/>
    </row>
    <row r="1834" spans="1:7" x14ac:dyDescent="0.3">
      <c r="A1834" s="182" t="s">
        <v>2366</v>
      </c>
      <c r="B1834" s="177"/>
      <c r="G1834" s="177"/>
    </row>
    <row r="1835" spans="1:7" x14ac:dyDescent="0.3">
      <c r="A1835" s="182" t="s">
        <v>2367</v>
      </c>
      <c r="B1835" s="177"/>
      <c r="G1835" s="177"/>
    </row>
    <row r="1836" spans="1:7" x14ac:dyDescent="0.3">
      <c r="A1836" s="182" t="s">
        <v>2368</v>
      </c>
      <c r="B1836" s="177"/>
      <c r="G1836" s="177"/>
    </row>
    <row r="1837" spans="1:7" x14ac:dyDescent="0.3">
      <c r="A1837" s="182" t="s">
        <v>2369</v>
      </c>
      <c r="B1837" s="177"/>
      <c r="G1837" s="177"/>
    </row>
    <row r="1838" spans="1:7" x14ac:dyDescent="0.3">
      <c r="A1838" s="182" t="s">
        <v>2370</v>
      </c>
      <c r="B1838" s="177"/>
      <c r="G1838" s="177"/>
    </row>
    <row r="1839" spans="1:7" x14ac:dyDescent="0.3">
      <c r="A1839" s="182" t="s">
        <v>2371</v>
      </c>
      <c r="B1839" s="177"/>
      <c r="G1839" s="177"/>
    </row>
    <row r="1840" spans="1:7" x14ac:dyDescent="0.3">
      <c r="A1840" s="182" t="s">
        <v>2372</v>
      </c>
      <c r="B1840" s="177"/>
      <c r="G1840" s="177"/>
    </row>
    <row r="1841" spans="1:7" x14ac:dyDescent="0.3">
      <c r="A1841" s="182" t="s">
        <v>2373</v>
      </c>
      <c r="B1841" s="177"/>
      <c r="G1841" s="177"/>
    </row>
    <row r="1842" spans="1:7" x14ac:dyDescent="0.3">
      <c r="A1842" s="182" t="s">
        <v>2374</v>
      </c>
      <c r="B1842" s="177"/>
      <c r="G1842" s="177"/>
    </row>
    <row r="1843" spans="1:7" x14ac:dyDescent="0.3">
      <c r="A1843" s="182" t="s">
        <v>2375</v>
      </c>
      <c r="B1843" s="177"/>
      <c r="G1843" s="177"/>
    </row>
    <row r="1844" spans="1:7" x14ac:dyDescent="0.3">
      <c r="A1844" s="182" t="s">
        <v>2376</v>
      </c>
      <c r="B1844" s="177"/>
      <c r="G1844" s="177"/>
    </row>
    <row r="1845" spans="1:7" x14ac:dyDescent="0.3">
      <c r="A1845" s="182" t="s">
        <v>2377</v>
      </c>
      <c r="B1845" s="177"/>
      <c r="G1845" s="177"/>
    </row>
    <row r="1846" spans="1:7" x14ac:dyDescent="0.3">
      <c r="A1846" s="182" t="s">
        <v>2378</v>
      </c>
      <c r="B1846" s="177"/>
      <c r="G1846" s="177"/>
    </row>
    <row r="1847" spans="1:7" x14ac:dyDescent="0.3">
      <c r="A1847" s="182" t="s">
        <v>2379</v>
      </c>
      <c r="B1847" s="177"/>
      <c r="G1847" s="177"/>
    </row>
    <row r="1848" spans="1:7" x14ac:dyDescent="0.3">
      <c r="A1848" s="182" t="s">
        <v>2380</v>
      </c>
      <c r="B1848" s="177"/>
      <c r="G1848" s="177"/>
    </row>
    <row r="1849" spans="1:7" x14ac:dyDescent="0.3">
      <c r="A1849" s="182" t="s">
        <v>2381</v>
      </c>
      <c r="B1849" s="177"/>
      <c r="G1849" s="177"/>
    </row>
    <row r="1850" spans="1:7" x14ac:dyDescent="0.3">
      <c r="A1850" s="182" t="s">
        <v>2382</v>
      </c>
      <c r="B1850" s="177"/>
      <c r="G1850" s="177"/>
    </row>
    <row r="1851" spans="1:7" x14ac:dyDescent="0.3">
      <c r="A1851" s="182" t="s">
        <v>2383</v>
      </c>
      <c r="B1851" s="177"/>
      <c r="G1851" s="177"/>
    </row>
    <row r="1852" spans="1:7" x14ac:dyDescent="0.3">
      <c r="A1852" s="182" t="s">
        <v>2384</v>
      </c>
      <c r="B1852" s="177"/>
      <c r="G1852" s="177"/>
    </row>
    <row r="1853" spans="1:7" x14ac:dyDescent="0.3">
      <c r="A1853" s="182" t="s">
        <v>2385</v>
      </c>
      <c r="B1853" s="177"/>
      <c r="G1853" s="177"/>
    </row>
    <row r="1854" spans="1:7" x14ac:dyDescent="0.3">
      <c r="A1854" s="182" t="s">
        <v>2386</v>
      </c>
      <c r="B1854" s="177"/>
      <c r="G1854" s="177"/>
    </row>
    <row r="1855" spans="1:7" x14ac:dyDescent="0.3">
      <c r="A1855" s="182" t="s">
        <v>2387</v>
      </c>
      <c r="B1855" s="177"/>
      <c r="G1855" s="177"/>
    </row>
    <row r="1856" spans="1:7" x14ac:dyDescent="0.3">
      <c r="A1856" s="182" t="s">
        <v>2388</v>
      </c>
      <c r="B1856" s="177"/>
      <c r="G1856" s="177"/>
    </row>
    <row r="1857" spans="1:7" x14ac:dyDescent="0.3">
      <c r="A1857" s="182" t="s">
        <v>2389</v>
      </c>
      <c r="B1857" s="177"/>
      <c r="G1857" s="177"/>
    </row>
    <row r="1858" spans="1:7" x14ac:dyDescent="0.3">
      <c r="A1858" s="182" t="s">
        <v>2390</v>
      </c>
      <c r="B1858" s="177"/>
      <c r="G1858" s="177"/>
    </row>
    <row r="1859" spans="1:7" x14ac:dyDescent="0.3">
      <c r="A1859" s="182" t="s">
        <v>2391</v>
      </c>
      <c r="B1859" s="177"/>
      <c r="G1859" s="177"/>
    </row>
    <row r="1860" spans="1:7" x14ac:dyDescent="0.3">
      <c r="A1860" s="182" t="s">
        <v>2392</v>
      </c>
      <c r="B1860" s="177"/>
      <c r="G1860" s="177"/>
    </row>
    <row r="1861" spans="1:7" x14ac:dyDescent="0.3">
      <c r="A1861" s="182" t="s">
        <v>2393</v>
      </c>
      <c r="B1861" s="177"/>
      <c r="G1861" s="177"/>
    </row>
    <row r="1862" spans="1:7" x14ac:dyDescent="0.3">
      <c r="A1862" s="182" t="s">
        <v>2394</v>
      </c>
      <c r="B1862" s="177"/>
      <c r="G1862" s="177"/>
    </row>
    <row r="1863" spans="1:7" x14ac:dyDescent="0.3">
      <c r="A1863" s="182" t="s">
        <v>2395</v>
      </c>
      <c r="B1863" s="177"/>
      <c r="G1863" s="177"/>
    </row>
    <row r="1864" spans="1:7" x14ac:dyDescent="0.3">
      <c r="A1864" s="182" t="s">
        <v>2396</v>
      </c>
      <c r="B1864" s="177"/>
      <c r="G1864" s="177"/>
    </row>
    <row r="1865" spans="1:7" x14ac:dyDescent="0.3">
      <c r="A1865" s="182" t="s">
        <v>2397</v>
      </c>
      <c r="B1865" s="177"/>
      <c r="G1865" s="177"/>
    </row>
    <row r="1866" spans="1:7" x14ac:dyDescent="0.3">
      <c r="A1866" s="182" t="s">
        <v>2398</v>
      </c>
      <c r="B1866" s="177"/>
      <c r="G1866" s="177"/>
    </row>
    <row r="1867" spans="1:7" x14ac:dyDescent="0.3">
      <c r="A1867" s="182" t="s">
        <v>2399</v>
      </c>
      <c r="B1867" s="177"/>
      <c r="G1867" s="177"/>
    </row>
    <row r="1868" spans="1:7" x14ac:dyDescent="0.3">
      <c r="A1868" s="182" t="s">
        <v>2400</v>
      </c>
      <c r="B1868" s="177"/>
      <c r="G1868" s="177"/>
    </row>
    <row r="1869" spans="1:7" x14ac:dyDescent="0.3">
      <c r="A1869" s="182" t="s">
        <v>2401</v>
      </c>
      <c r="B1869" s="177"/>
      <c r="G1869" s="177"/>
    </row>
    <row r="1870" spans="1:7" x14ac:dyDescent="0.3">
      <c r="A1870" s="182" t="s">
        <v>2402</v>
      </c>
      <c r="B1870" s="177"/>
      <c r="G1870" s="177"/>
    </row>
    <row r="1871" spans="1:7" x14ac:dyDescent="0.3">
      <c r="A1871" s="182" t="s">
        <v>2403</v>
      </c>
      <c r="B1871" s="177"/>
      <c r="G1871" s="177"/>
    </row>
    <row r="1872" spans="1:7" x14ac:dyDescent="0.3">
      <c r="A1872" s="182" t="s">
        <v>2404</v>
      </c>
      <c r="B1872" s="177"/>
      <c r="G1872" s="177"/>
    </row>
    <row r="1873" spans="1:7" x14ac:dyDescent="0.3">
      <c r="A1873" s="182" t="s">
        <v>2405</v>
      </c>
      <c r="B1873" s="177"/>
      <c r="G1873" s="177"/>
    </row>
    <row r="1874" spans="1:7" x14ac:dyDescent="0.3">
      <c r="A1874" s="182" t="s">
        <v>2406</v>
      </c>
      <c r="B1874" s="177"/>
      <c r="G1874" s="177"/>
    </row>
    <row r="1875" spans="1:7" x14ac:dyDescent="0.3">
      <c r="A1875" s="182" t="s">
        <v>2407</v>
      </c>
      <c r="B1875" s="177"/>
      <c r="G1875" s="177"/>
    </row>
    <row r="1876" spans="1:7" x14ac:dyDescent="0.3">
      <c r="A1876" s="182" t="s">
        <v>2408</v>
      </c>
      <c r="B1876" s="177"/>
      <c r="G1876" s="177"/>
    </row>
    <row r="1877" spans="1:7" x14ac:dyDescent="0.3">
      <c r="A1877" s="182" t="s">
        <v>2409</v>
      </c>
      <c r="B1877" s="177"/>
      <c r="G1877" s="177"/>
    </row>
    <row r="1878" spans="1:7" x14ac:dyDescent="0.3">
      <c r="A1878" s="182" t="s">
        <v>2410</v>
      </c>
      <c r="B1878" s="177"/>
      <c r="G1878" s="177"/>
    </row>
    <row r="1879" spans="1:7" x14ac:dyDescent="0.3">
      <c r="A1879" s="182" t="s">
        <v>2411</v>
      </c>
      <c r="B1879" s="177"/>
      <c r="G1879" s="177"/>
    </row>
    <row r="1880" spans="1:7" x14ac:dyDescent="0.3">
      <c r="A1880" s="182" t="s">
        <v>2412</v>
      </c>
      <c r="B1880" s="177"/>
      <c r="G1880" s="177"/>
    </row>
    <row r="1881" spans="1:7" x14ac:dyDescent="0.3">
      <c r="A1881" s="182" t="s">
        <v>2413</v>
      </c>
      <c r="B1881" s="177"/>
      <c r="G1881" s="177"/>
    </row>
    <row r="1882" spans="1:7" x14ac:dyDescent="0.3">
      <c r="A1882" s="182" t="s">
        <v>2414</v>
      </c>
      <c r="B1882" s="177"/>
      <c r="G1882" s="177"/>
    </row>
    <row r="1883" spans="1:7" x14ac:dyDescent="0.3">
      <c r="A1883" s="182" t="s">
        <v>2415</v>
      </c>
      <c r="B1883" s="177"/>
      <c r="G1883" s="177"/>
    </row>
    <row r="1884" spans="1:7" x14ac:dyDescent="0.3">
      <c r="A1884" s="182" t="s">
        <v>2416</v>
      </c>
      <c r="B1884" s="177"/>
      <c r="G1884" s="177"/>
    </row>
    <row r="1885" spans="1:7" x14ac:dyDescent="0.3">
      <c r="A1885" s="182" t="s">
        <v>2417</v>
      </c>
      <c r="B1885" s="177"/>
      <c r="G1885" s="177"/>
    </row>
    <row r="1886" spans="1:7" x14ac:dyDescent="0.3">
      <c r="A1886" s="182" t="s">
        <v>2418</v>
      </c>
      <c r="B1886" s="177"/>
      <c r="G1886" s="177"/>
    </row>
    <row r="1887" spans="1:7" x14ac:dyDescent="0.3">
      <c r="A1887" s="182" t="s">
        <v>2419</v>
      </c>
      <c r="B1887" s="177"/>
      <c r="G1887" s="177"/>
    </row>
    <row r="1888" spans="1:7" x14ac:dyDescent="0.3">
      <c r="A1888" s="182" t="s">
        <v>2420</v>
      </c>
      <c r="B1888" s="177"/>
      <c r="G1888" s="177"/>
    </row>
    <row r="1889" spans="1:7" x14ac:dyDescent="0.3">
      <c r="A1889" s="182" t="s">
        <v>2421</v>
      </c>
      <c r="B1889" s="177"/>
      <c r="G1889" s="177"/>
    </row>
    <row r="1890" spans="1:7" x14ac:dyDescent="0.3">
      <c r="A1890" s="182" t="s">
        <v>2422</v>
      </c>
      <c r="B1890" s="177"/>
      <c r="G1890" s="177"/>
    </row>
    <row r="1891" spans="1:7" x14ac:dyDescent="0.3">
      <c r="A1891" s="182" t="s">
        <v>2423</v>
      </c>
      <c r="B1891" s="177"/>
      <c r="G1891" s="177"/>
    </row>
    <row r="1892" spans="1:7" x14ac:dyDescent="0.3">
      <c r="A1892" s="182" t="s">
        <v>2424</v>
      </c>
      <c r="B1892" s="177"/>
      <c r="G1892" s="177"/>
    </row>
    <row r="1893" spans="1:7" x14ac:dyDescent="0.3">
      <c r="A1893" s="182" t="s">
        <v>2425</v>
      </c>
      <c r="B1893" s="177"/>
      <c r="G1893" s="177"/>
    </row>
    <row r="1894" spans="1:7" x14ac:dyDescent="0.3">
      <c r="A1894" s="182" t="s">
        <v>2426</v>
      </c>
      <c r="B1894" s="177"/>
      <c r="G1894" s="177"/>
    </row>
    <row r="1895" spans="1:7" x14ac:dyDescent="0.3">
      <c r="A1895" s="182" t="s">
        <v>2427</v>
      </c>
      <c r="B1895" s="177"/>
      <c r="G1895" s="177"/>
    </row>
    <row r="1896" spans="1:7" x14ac:dyDescent="0.3">
      <c r="A1896" s="182" t="s">
        <v>2428</v>
      </c>
      <c r="B1896" s="177"/>
      <c r="G1896" s="177"/>
    </row>
    <row r="1897" spans="1:7" x14ac:dyDescent="0.3">
      <c r="A1897" s="182" t="s">
        <v>2429</v>
      </c>
      <c r="B1897" s="177"/>
      <c r="G1897" s="177"/>
    </row>
    <row r="1898" spans="1:7" x14ac:dyDescent="0.3">
      <c r="A1898" s="182" t="s">
        <v>2430</v>
      </c>
      <c r="B1898" s="177"/>
      <c r="G1898" s="177"/>
    </row>
    <row r="1899" spans="1:7" x14ac:dyDescent="0.3">
      <c r="A1899" s="182" t="s">
        <v>2431</v>
      </c>
      <c r="B1899" s="177"/>
      <c r="G1899" s="177"/>
    </row>
    <row r="1900" spans="1:7" x14ac:dyDescent="0.3">
      <c r="A1900" s="182" t="s">
        <v>2432</v>
      </c>
      <c r="B1900" s="177"/>
      <c r="G1900" s="177"/>
    </row>
    <row r="1901" spans="1:7" x14ac:dyDescent="0.3">
      <c r="A1901" s="182" t="s">
        <v>2433</v>
      </c>
      <c r="B1901" s="177"/>
      <c r="G1901" s="177"/>
    </row>
    <row r="1902" spans="1:7" x14ac:dyDescent="0.3">
      <c r="A1902" s="182" t="s">
        <v>2434</v>
      </c>
      <c r="B1902" s="177"/>
      <c r="G1902" s="177"/>
    </row>
    <row r="1903" spans="1:7" x14ac:dyDescent="0.3">
      <c r="A1903" s="182" t="s">
        <v>2435</v>
      </c>
      <c r="B1903" s="177"/>
      <c r="G1903" s="177"/>
    </row>
    <row r="1904" spans="1:7" x14ac:dyDescent="0.3">
      <c r="A1904" s="182" t="s">
        <v>2436</v>
      </c>
      <c r="B1904" s="177"/>
      <c r="G1904" s="177"/>
    </row>
    <row r="1905" spans="1:7" x14ac:dyDescent="0.3">
      <c r="A1905" s="182" t="s">
        <v>2437</v>
      </c>
      <c r="B1905" s="177"/>
      <c r="G1905" s="177"/>
    </row>
    <row r="1906" spans="1:7" x14ac:dyDescent="0.3">
      <c r="A1906" s="182" t="s">
        <v>2438</v>
      </c>
      <c r="B1906" s="177"/>
      <c r="G1906" s="177"/>
    </row>
    <row r="1907" spans="1:7" x14ac:dyDescent="0.3">
      <c r="A1907" s="182" t="s">
        <v>2439</v>
      </c>
      <c r="B1907" s="177"/>
      <c r="G1907" s="177"/>
    </row>
    <row r="1908" spans="1:7" x14ac:dyDescent="0.3">
      <c r="A1908" s="182" t="s">
        <v>2440</v>
      </c>
      <c r="B1908" s="177"/>
      <c r="G1908" s="177"/>
    </row>
    <row r="1909" spans="1:7" x14ac:dyDescent="0.3">
      <c r="A1909" s="182" t="s">
        <v>2441</v>
      </c>
      <c r="B1909" s="177"/>
      <c r="G1909" s="177"/>
    </row>
    <row r="1910" spans="1:7" x14ac:dyDescent="0.3">
      <c r="A1910" s="182" t="s">
        <v>2442</v>
      </c>
      <c r="B1910" s="177"/>
      <c r="G1910" s="177"/>
    </row>
    <row r="1911" spans="1:7" x14ac:dyDescent="0.3">
      <c r="A1911" s="182" t="s">
        <v>2443</v>
      </c>
      <c r="B1911" s="177"/>
      <c r="G1911" s="177"/>
    </row>
    <row r="1912" spans="1:7" x14ac:dyDescent="0.3">
      <c r="A1912" s="182" t="s">
        <v>2444</v>
      </c>
      <c r="B1912" s="177"/>
      <c r="G1912" s="177"/>
    </row>
    <row r="1913" spans="1:7" x14ac:dyDescent="0.3">
      <c r="A1913" s="182" t="s">
        <v>2445</v>
      </c>
      <c r="B1913" s="177"/>
      <c r="G1913" s="177"/>
    </row>
    <row r="1914" spans="1:7" x14ac:dyDescent="0.3">
      <c r="A1914" s="182" t="s">
        <v>2446</v>
      </c>
      <c r="B1914" s="177"/>
      <c r="G1914" s="177"/>
    </row>
    <row r="1915" spans="1:7" x14ac:dyDescent="0.3">
      <c r="A1915" s="182" t="s">
        <v>2447</v>
      </c>
      <c r="B1915" s="177"/>
      <c r="G1915" s="177"/>
    </row>
    <row r="1916" spans="1:7" x14ac:dyDescent="0.3">
      <c r="A1916" s="182" t="s">
        <v>2448</v>
      </c>
      <c r="B1916" s="177"/>
      <c r="G1916" s="177"/>
    </row>
    <row r="1917" spans="1:7" x14ac:dyDescent="0.3">
      <c r="A1917" s="182" t="s">
        <v>2449</v>
      </c>
      <c r="B1917" s="177"/>
      <c r="G1917" s="177"/>
    </row>
    <row r="1918" spans="1:7" x14ac:dyDescent="0.3">
      <c r="A1918" s="182" t="s">
        <v>2450</v>
      </c>
      <c r="B1918" s="177"/>
      <c r="G1918" s="177"/>
    </row>
    <row r="1919" spans="1:7" x14ac:dyDescent="0.3">
      <c r="A1919" s="182" t="s">
        <v>2451</v>
      </c>
      <c r="B1919" s="177"/>
      <c r="G1919" s="177"/>
    </row>
    <row r="1920" spans="1:7" x14ac:dyDescent="0.3">
      <c r="A1920" s="182" t="s">
        <v>2452</v>
      </c>
      <c r="B1920" s="177"/>
      <c r="G1920" s="177"/>
    </row>
    <row r="1921" spans="1:7" x14ac:dyDescent="0.3">
      <c r="A1921" s="199" t="s">
        <v>2453</v>
      </c>
      <c r="B1921" s="177"/>
      <c r="G1921" s="177"/>
    </row>
    <row r="1922" spans="1:7" s="201" customFormat="1" x14ac:dyDescent="0.3">
      <c r="A1922" s="182" t="s">
        <v>2454</v>
      </c>
      <c r="C1922" s="195"/>
      <c r="D1922" s="195"/>
      <c r="E1922" s="195"/>
      <c r="F1922" s="195"/>
    </row>
    <row r="1923" spans="1:7" x14ac:dyDescent="0.3">
      <c r="A1923" s="183" t="s">
        <v>2455</v>
      </c>
    </row>
    <row r="1924" spans="1:7" x14ac:dyDescent="0.3">
      <c r="A1924" s="183" t="s">
        <v>2456</v>
      </c>
    </row>
    <row r="1925" spans="1:7" x14ac:dyDescent="0.3">
      <c r="A1925" s="183" t="s">
        <v>2457</v>
      </c>
    </row>
    <row r="1926" spans="1:7" x14ac:dyDescent="0.3">
      <c r="A1926" s="183" t="s">
        <v>2458</v>
      </c>
    </row>
    <row r="1927" spans="1:7" x14ac:dyDescent="0.3">
      <c r="A1927" s="200" t="s">
        <v>2459</v>
      </c>
    </row>
    <row r="1928" spans="1:7" x14ac:dyDescent="0.3">
      <c r="A1928" s="200" t="s">
        <v>2460</v>
      </c>
    </row>
    <row r="1929" spans="1:7" x14ac:dyDescent="0.3">
      <c r="A1929" s="200" t="s">
        <v>2461</v>
      </c>
    </row>
    <row r="1930" spans="1:7" x14ac:dyDescent="0.3">
      <c r="A1930" s="200" t="s">
        <v>2462</v>
      </c>
    </row>
    <row r="1931" spans="1:7" x14ac:dyDescent="0.3">
      <c r="A1931" s="182" t="s">
        <v>2463</v>
      </c>
    </row>
    <row r="1932" spans="1:7" x14ac:dyDescent="0.3">
      <c r="A1932" s="182" t="s">
        <v>2464</v>
      </c>
    </row>
    <row r="1933" spans="1:7" x14ac:dyDescent="0.3">
      <c r="A1933" s="182" t="s">
        <v>2465</v>
      </c>
    </row>
    <row r="1934" spans="1:7" x14ac:dyDescent="0.3">
      <c r="A1934" s="182" t="s">
        <v>2466</v>
      </c>
    </row>
    <row r="1935" spans="1:7" x14ac:dyDescent="0.3">
      <c r="A1935" s="182" t="s">
        <v>2467</v>
      </c>
    </row>
    <row r="1936" spans="1:7" x14ac:dyDescent="0.3">
      <c r="A1936" s="182" t="s">
        <v>2468</v>
      </c>
    </row>
    <row r="1937" spans="1:1" x14ac:dyDescent="0.3">
      <c r="A1937" s="182" t="s">
        <v>2469</v>
      </c>
    </row>
    <row r="1938" spans="1:1" x14ac:dyDescent="0.3">
      <c r="A1938" s="182" t="s">
        <v>2470</v>
      </c>
    </row>
    <row r="1939" spans="1:1" x14ac:dyDescent="0.3">
      <c r="A1939" s="182" t="s">
        <v>2471</v>
      </c>
    </row>
    <row r="1940" spans="1:1" x14ac:dyDescent="0.3">
      <c r="A1940" s="182" t="s">
        <v>2472</v>
      </c>
    </row>
    <row r="1941" spans="1:1" x14ac:dyDescent="0.3">
      <c r="A1941" s="182" t="s">
        <v>2473</v>
      </c>
    </row>
    <row r="1942" spans="1:1" x14ac:dyDescent="0.3">
      <c r="A1942" s="182" t="s">
        <v>2474</v>
      </c>
    </row>
    <row r="1943" spans="1:1" x14ac:dyDescent="0.3">
      <c r="A1943" s="182" t="s">
        <v>2475</v>
      </c>
    </row>
    <row r="1944" spans="1:1" x14ac:dyDescent="0.3">
      <c r="A1944" s="182" t="s">
        <v>2476</v>
      </c>
    </row>
    <row r="1945" spans="1:1" x14ac:dyDescent="0.3">
      <c r="A1945" s="182" t="s">
        <v>2477</v>
      </c>
    </row>
    <row r="1946" spans="1:1" x14ac:dyDescent="0.3">
      <c r="A1946" s="182" t="s">
        <v>2478</v>
      </c>
    </row>
    <row r="1947" spans="1:1" x14ac:dyDescent="0.3">
      <c r="A1947" s="182" t="s">
        <v>2479</v>
      </c>
    </row>
    <row r="1948" spans="1:1" x14ac:dyDescent="0.3">
      <c r="A1948" s="182" t="s">
        <v>2480</v>
      </c>
    </row>
    <row r="1949" spans="1:1" x14ac:dyDescent="0.3">
      <c r="A1949" s="182" t="s">
        <v>2481</v>
      </c>
    </row>
    <row r="1950" spans="1:1" x14ac:dyDescent="0.3">
      <c r="A1950" s="182" t="s">
        <v>2482</v>
      </c>
    </row>
    <row r="1951" spans="1:1" x14ac:dyDescent="0.3">
      <c r="A1951" s="182" t="s">
        <v>2483</v>
      </c>
    </row>
    <row r="1952" spans="1:1" x14ac:dyDescent="0.3">
      <c r="A1952" s="182" t="s">
        <v>2484</v>
      </c>
    </row>
    <row r="1953" spans="1:1" x14ac:dyDescent="0.3">
      <c r="A1953" s="182" t="s">
        <v>2485</v>
      </c>
    </row>
    <row r="1954" spans="1:1" x14ac:dyDescent="0.3">
      <c r="A1954" s="182" t="s">
        <v>2486</v>
      </c>
    </row>
    <row r="1955" spans="1:1" x14ac:dyDescent="0.3">
      <c r="A1955" s="182" t="s">
        <v>2487</v>
      </c>
    </row>
    <row r="1956" spans="1:1" x14ac:dyDescent="0.3">
      <c r="A1956" s="182" t="s">
        <v>2488</v>
      </c>
    </row>
    <row r="1957" spans="1:1" x14ac:dyDescent="0.3">
      <c r="A1957" s="182" t="s">
        <v>2489</v>
      </c>
    </row>
    <row r="1958" spans="1:1" x14ac:dyDescent="0.3">
      <c r="A1958" s="182" t="s">
        <v>2490</v>
      </c>
    </row>
    <row r="1959" spans="1:1" x14ac:dyDescent="0.3">
      <c r="A1959" s="182" t="s">
        <v>2491</v>
      </c>
    </row>
    <row r="1960" spans="1:1" x14ac:dyDescent="0.3">
      <c r="A1960" s="182" t="s">
        <v>2492</v>
      </c>
    </row>
    <row r="1961" spans="1:1" x14ac:dyDescent="0.3">
      <c r="A1961" s="182" t="s">
        <v>2493</v>
      </c>
    </row>
    <row r="1962" spans="1:1" x14ac:dyDescent="0.3">
      <c r="A1962" s="182" t="s">
        <v>2494</v>
      </c>
    </row>
    <row r="1963" spans="1:1" x14ac:dyDescent="0.3">
      <c r="A1963" s="182" t="s">
        <v>2495</v>
      </c>
    </row>
    <row r="1964" spans="1:1" x14ac:dyDescent="0.3">
      <c r="A1964" s="182" t="s">
        <v>2496</v>
      </c>
    </row>
    <row r="1965" spans="1:1" x14ac:dyDescent="0.3">
      <c r="A1965" s="182" t="s">
        <v>2497</v>
      </c>
    </row>
    <row r="1966" spans="1:1" x14ac:dyDescent="0.3">
      <c r="A1966" s="182" t="s">
        <v>2498</v>
      </c>
    </row>
    <row r="1967" spans="1:1" x14ac:dyDescent="0.3">
      <c r="A1967" s="182" t="s">
        <v>2499</v>
      </c>
    </row>
    <row r="1968" spans="1:1" x14ac:dyDescent="0.3">
      <c r="A1968" s="182" t="s">
        <v>2500</v>
      </c>
    </row>
    <row r="1969" spans="1:1" x14ac:dyDescent="0.3">
      <c r="A1969" s="182" t="s">
        <v>2501</v>
      </c>
    </row>
    <row r="1970" spans="1:1" x14ac:dyDescent="0.3">
      <c r="A1970" s="182" t="s">
        <v>2502</v>
      </c>
    </row>
    <row r="1971" spans="1:1" x14ac:dyDescent="0.3">
      <c r="A1971" s="182" t="s">
        <v>2503</v>
      </c>
    </row>
    <row r="1972" spans="1:1" x14ac:dyDescent="0.3">
      <c r="A1972" s="182" t="s">
        <v>2504</v>
      </c>
    </row>
    <row r="1973" spans="1:1" x14ac:dyDescent="0.3">
      <c r="A1973" s="182" t="s">
        <v>2505</v>
      </c>
    </row>
    <row r="1974" spans="1:1" x14ac:dyDescent="0.3">
      <c r="A1974" s="182" t="s">
        <v>2506</v>
      </c>
    </row>
    <row r="1975" spans="1:1" x14ac:dyDescent="0.3">
      <c r="A1975" s="182" t="s">
        <v>2507</v>
      </c>
    </row>
    <row r="1976" spans="1:1" x14ac:dyDescent="0.3">
      <c r="A1976" s="182" t="s">
        <v>2508</v>
      </c>
    </row>
    <row r="1977" spans="1:1" x14ac:dyDescent="0.3">
      <c r="A1977" s="182" t="s">
        <v>2509</v>
      </c>
    </row>
    <row r="1978" spans="1:1" x14ac:dyDescent="0.3">
      <c r="A1978" s="182" t="s">
        <v>2510</v>
      </c>
    </row>
    <row r="1979" spans="1:1" x14ac:dyDescent="0.3">
      <c r="A1979" s="182" t="s">
        <v>2511</v>
      </c>
    </row>
    <row r="1980" spans="1:1" x14ac:dyDescent="0.3">
      <c r="A1980" s="182" t="s">
        <v>2512</v>
      </c>
    </row>
    <row r="1981" spans="1:1" x14ac:dyDescent="0.3">
      <c r="A1981" s="182" t="s">
        <v>2513</v>
      </c>
    </row>
    <row r="1982" spans="1:1" x14ac:dyDescent="0.3">
      <c r="A1982" s="182" t="s">
        <v>2514</v>
      </c>
    </row>
    <row r="1983" spans="1:1" x14ac:dyDescent="0.3">
      <c r="A1983" s="182" t="s">
        <v>2515</v>
      </c>
    </row>
    <row r="1984" spans="1:1" x14ac:dyDescent="0.3">
      <c r="A1984" s="182" t="s">
        <v>2516</v>
      </c>
    </row>
    <row r="1985" spans="1:1" x14ac:dyDescent="0.3">
      <c r="A1985" s="182" t="s">
        <v>2517</v>
      </c>
    </row>
    <row r="1986" spans="1:1" x14ac:dyDescent="0.3">
      <c r="A1986" s="182" t="s">
        <v>2518</v>
      </c>
    </row>
    <row r="1987" spans="1:1" x14ac:dyDescent="0.3">
      <c r="A1987" s="182" t="s">
        <v>2519</v>
      </c>
    </row>
    <row r="1988" spans="1:1" x14ac:dyDescent="0.3">
      <c r="A1988" s="182" t="s">
        <v>2520</v>
      </c>
    </row>
    <row r="1989" spans="1:1" x14ac:dyDescent="0.3">
      <c r="A1989" s="182" t="s">
        <v>2521</v>
      </c>
    </row>
    <row r="1990" spans="1:1" x14ac:dyDescent="0.3">
      <c r="A1990" s="182" t="s">
        <v>2522</v>
      </c>
    </row>
    <row r="1991" spans="1:1" x14ac:dyDescent="0.3">
      <c r="A1991" s="182" t="s">
        <v>2523</v>
      </c>
    </row>
    <row r="1992" spans="1:1" x14ac:dyDescent="0.3">
      <c r="A1992" s="182" t="s">
        <v>2524</v>
      </c>
    </row>
    <row r="1993" spans="1:1" x14ac:dyDescent="0.3">
      <c r="A1993" s="182" t="s">
        <v>2525</v>
      </c>
    </row>
    <row r="1994" spans="1:1" x14ac:dyDescent="0.3">
      <c r="A1994" s="182" t="s">
        <v>2526</v>
      </c>
    </row>
    <row r="1995" spans="1:1" x14ac:dyDescent="0.3">
      <c r="A1995" s="182" t="s">
        <v>2527</v>
      </c>
    </row>
    <row r="1996" spans="1:1" x14ac:dyDescent="0.3">
      <c r="A1996" s="182" t="s">
        <v>2528</v>
      </c>
    </row>
    <row r="1997" spans="1:1" x14ac:dyDescent="0.3">
      <c r="A1997" s="182" t="s">
        <v>2529</v>
      </c>
    </row>
    <row r="1998" spans="1:1" x14ac:dyDescent="0.3">
      <c r="A1998" s="182" t="s">
        <v>2530</v>
      </c>
    </row>
    <row r="1999" spans="1:1" x14ac:dyDescent="0.3">
      <c r="A1999" s="182" t="s">
        <v>2531</v>
      </c>
    </row>
    <row r="2000" spans="1:1" x14ac:dyDescent="0.3">
      <c r="A2000" s="182" t="s">
        <v>2532</v>
      </c>
    </row>
    <row r="2001" spans="1:1" x14ac:dyDescent="0.3">
      <c r="A2001" s="182" t="s">
        <v>2533</v>
      </c>
    </row>
    <row r="2002" spans="1:1" x14ac:dyDescent="0.3">
      <c r="A2002" s="182" t="s">
        <v>2534</v>
      </c>
    </row>
    <row r="2003" spans="1:1" x14ac:dyDescent="0.3">
      <c r="A2003" s="182" t="s">
        <v>2535</v>
      </c>
    </row>
    <row r="2004" spans="1:1" x14ac:dyDescent="0.3">
      <c r="A2004" s="182" t="s">
        <v>2536</v>
      </c>
    </row>
    <row r="2005" spans="1:1" x14ac:dyDescent="0.3">
      <c r="A2005" s="182" t="s">
        <v>2537</v>
      </c>
    </row>
    <row r="2006" spans="1:1" x14ac:dyDescent="0.3">
      <c r="A2006" s="182" t="s">
        <v>2538</v>
      </c>
    </row>
    <row r="2007" spans="1:1" x14ac:dyDescent="0.3">
      <c r="A2007" s="182" t="s">
        <v>2539</v>
      </c>
    </row>
    <row r="2008" spans="1:1" x14ac:dyDescent="0.3">
      <c r="A2008" s="182" t="s">
        <v>2540</v>
      </c>
    </row>
    <row r="2009" spans="1:1" x14ac:dyDescent="0.3">
      <c r="A2009" s="182" t="s">
        <v>2541</v>
      </c>
    </row>
    <row r="2010" spans="1:1" x14ac:dyDescent="0.3">
      <c r="A2010" s="182" t="s">
        <v>2542</v>
      </c>
    </row>
    <row r="2011" spans="1:1" x14ac:dyDescent="0.3">
      <c r="A2011" s="182" t="s">
        <v>2543</v>
      </c>
    </row>
    <row r="2012" spans="1:1" x14ac:dyDescent="0.3">
      <c r="A2012" s="182" t="s">
        <v>2544</v>
      </c>
    </row>
    <row r="2013" spans="1:1" x14ac:dyDescent="0.3">
      <c r="A2013" s="182" t="s">
        <v>2545</v>
      </c>
    </row>
    <row r="2014" spans="1:1" x14ac:dyDescent="0.3">
      <c r="A2014" s="182" t="s">
        <v>2546</v>
      </c>
    </row>
    <row r="2015" spans="1:1" x14ac:dyDescent="0.3">
      <c r="A2015" s="182" t="s">
        <v>2547</v>
      </c>
    </row>
    <row r="2016" spans="1:1" x14ac:dyDescent="0.3">
      <c r="A2016" s="182" t="s">
        <v>2548</v>
      </c>
    </row>
    <row r="2017" spans="1:1" x14ac:dyDescent="0.3">
      <c r="A2017" s="182" t="s">
        <v>2549</v>
      </c>
    </row>
    <row r="2018" spans="1:1" x14ac:dyDescent="0.3">
      <c r="A2018" s="182" t="s">
        <v>2550</v>
      </c>
    </row>
    <row r="2019" spans="1:1" x14ac:dyDescent="0.3">
      <c r="A2019" s="182" t="s">
        <v>2551</v>
      </c>
    </row>
    <row r="2020" spans="1:1" x14ac:dyDescent="0.3">
      <c r="A2020" s="182" t="s">
        <v>2552</v>
      </c>
    </row>
    <row r="2021" spans="1:1" x14ac:dyDescent="0.3">
      <c r="A2021" s="182" t="s">
        <v>2553</v>
      </c>
    </row>
    <row r="2022" spans="1:1" x14ac:dyDescent="0.3">
      <c r="A2022" s="182" t="s">
        <v>2554</v>
      </c>
    </row>
    <row r="2023" spans="1:1" x14ac:dyDescent="0.3">
      <c r="A2023" s="182" t="s">
        <v>2555</v>
      </c>
    </row>
    <row r="2024" spans="1:1" x14ac:dyDescent="0.3">
      <c r="A2024" s="182" t="s">
        <v>2556</v>
      </c>
    </row>
    <row r="2025" spans="1:1" x14ac:dyDescent="0.3">
      <c r="A2025" s="182" t="s">
        <v>2557</v>
      </c>
    </row>
    <row r="2026" spans="1:1" x14ac:dyDescent="0.3">
      <c r="A2026" s="182" t="s">
        <v>2558</v>
      </c>
    </row>
    <row r="2027" spans="1:1" x14ac:dyDescent="0.3">
      <c r="A2027" s="182" t="s">
        <v>2559</v>
      </c>
    </row>
    <row r="2028" spans="1:1" x14ac:dyDescent="0.3">
      <c r="A2028" s="182" t="s">
        <v>2560</v>
      </c>
    </row>
    <row r="2029" spans="1:1" x14ac:dyDescent="0.3">
      <c r="A2029" s="182" t="s">
        <v>2561</v>
      </c>
    </row>
    <row r="2030" spans="1:1" x14ac:dyDescent="0.3">
      <c r="A2030" s="182" t="s">
        <v>2562</v>
      </c>
    </row>
    <row r="2031" spans="1:1" x14ac:dyDescent="0.3">
      <c r="A2031" s="182" t="s">
        <v>2563</v>
      </c>
    </row>
    <row r="2032" spans="1:1" x14ac:dyDescent="0.3">
      <c r="A2032" s="182" t="s">
        <v>2564</v>
      </c>
    </row>
    <row r="2033" spans="1:1" x14ac:dyDescent="0.3">
      <c r="A2033" s="182" t="s">
        <v>2565</v>
      </c>
    </row>
    <row r="2034" spans="1:1" x14ac:dyDescent="0.3">
      <c r="A2034" s="182" t="s">
        <v>2566</v>
      </c>
    </row>
    <row r="2035" spans="1:1" x14ac:dyDescent="0.3">
      <c r="A2035" s="182" t="s">
        <v>2567</v>
      </c>
    </row>
    <row r="2036" spans="1:1" x14ac:dyDescent="0.3">
      <c r="A2036" s="182" t="s">
        <v>2568</v>
      </c>
    </row>
    <row r="2037" spans="1:1" x14ac:dyDescent="0.3">
      <c r="A2037" s="182" t="s">
        <v>2569</v>
      </c>
    </row>
    <row r="2038" spans="1:1" x14ac:dyDescent="0.3">
      <c r="A2038" s="182" t="s">
        <v>2570</v>
      </c>
    </row>
    <row r="2039" spans="1:1" x14ac:dyDescent="0.3">
      <c r="A2039" s="182" t="s">
        <v>2571</v>
      </c>
    </row>
    <row r="2040" spans="1:1" x14ac:dyDescent="0.3">
      <c r="A2040" s="182" t="s">
        <v>2572</v>
      </c>
    </row>
    <row r="2041" spans="1:1" x14ac:dyDescent="0.3">
      <c r="A2041" s="182" t="s">
        <v>2573</v>
      </c>
    </row>
    <row r="2042" spans="1:1" x14ac:dyDescent="0.3">
      <c r="A2042" s="182" t="s">
        <v>2574</v>
      </c>
    </row>
    <row r="2043" spans="1:1" x14ac:dyDescent="0.3">
      <c r="A2043" s="182" t="s">
        <v>2575</v>
      </c>
    </row>
    <row r="2044" spans="1:1" x14ac:dyDescent="0.3">
      <c r="A2044" s="182" t="s">
        <v>2576</v>
      </c>
    </row>
    <row r="2045" spans="1:1" x14ac:dyDescent="0.3">
      <c r="A2045" s="182" t="s">
        <v>2577</v>
      </c>
    </row>
    <row r="2046" spans="1:1" x14ac:dyDescent="0.3">
      <c r="A2046" s="182" t="s">
        <v>2578</v>
      </c>
    </row>
    <row r="2047" spans="1:1" x14ac:dyDescent="0.3">
      <c r="A2047" s="182" t="s">
        <v>2579</v>
      </c>
    </row>
    <row r="2048" spans="1:1" x14ac:dyDescent="0.3">
      <c r="A2048" s="182" t="s">
        <v>2580</v>
      </c>
    </row>
    <row r="2049" spans="1:1" x14ac:dyDescent="0.3">
      <c r="A2049" s="182" t="s">
        <v>2581</v>
      </c>
    </row>
    <row r="2050" spans="1:1" x14ac:dyDescent="0.3">
      <c r="A2050" s="182" t="s">
        <v>2582</v>
      </c>
    </row>
    <row r="2051" spans="1:1" x14ac:dyDescent="0.3">
      <c r="A2051" s="182" t="s">
        <v>2583</v>
      </c>
    </row>
    <row r="2052" spans="1:1" x14ac:dyDescent="0.3">
      <c r="A2052" s="182" t="s">
        <v>2584</v>
      </c>
    </row>
    <row r="2053" spans="1:1" x14ac:dyDescent="0.3">
      <c r="A2053" s="182" t="s">
        <v>2585</v>
      </c>
    </row>
    <row r="2054" spans="1:1" x14ac:dyDescent="0.3">
      <c r="A2054" s="182" t="s">
        <v>2586</v>
      </c>
    </row>
    <row r="2055" spans="1:1" x14ac:dyDescent="0.3">
      <c r="A2055" s="182" t="s">
        <v>2587</v>
      </c>
    </row>
    <row r="2056" spans="1:1" x14ac:dyDescent="0.3">
      <c r="A2056" s="182" t="s">
        <v>2588</v>
      </c>
    </row>
    <row r="2057" spans="1:1" x14ac:dyDescent="0.3">
      <c r="A2057" s="182" t="s">
        <v>2589</v>
      </c>
    </row>
    <row r="2058" spans="1:1" x14ac:dyDescent="0.3">
      <c r="A2058" s="182" t="s">
        <v>2590</v>
      </c>
    </row>
    <row r="2059" spans="1:1" x14ac:dyDescent="0.3">
      <c r="A2059" s="182" t="s">
        <v>2591</v>
      </c>
    </row>
    <row r="2060" spans="1:1" x14ac:dyDescent="0.3">
      <c r="A2060" s="182" t="s">
        <v>2592</v>
      </c>
    </row>
    <row r="2061" spans="1:1" x14ac:dyDescent="0.3">
      <c r="A2061" s="182" t="s">
        <v>2593</v>
      </c>
    </row>
    <row r="2062" spans="1:1" x14ac:dyDescent="0.3">
      <c r="A2062" s="182" t="s">
        <v>2594</v>
      </c>
    </row>
    <row r="2063" spans="1:1" x14ac:dyDescent="0.3">
      <c r="A2063" s="182" t="s">
        <v>2595</v>
      </c>
    </row>
    <row r="2064" spans="1:1" x14ac:dyDescent="0.3">
      <c r="A2064" s="182" t="s">
        <v>2596</v>
      </c>
    </row>
    <row r="2065" spans="1:1" x14ac:dyDescent="0.3">
      <c r="A2065" s="182" t="s">
        <v>2597</v>
      </c>
    </row>
    <row r="2066" spans="1:1" x14ac:dyDescent="0.3">
      <c r="A2066" s="182" t="s">
        <v>2598</v>
      </c>
    </row>
    <row r="2067" spans="1:1" x14ac:dyDescent="0.3">
      <c r="A2067" s="182" t="s">
        <v>2599</v>
      </c>
    </row>
    <row r="2068" spans="1:1" x14ac:dyDescent="0.3">
      <c r="A2068" s="182" t="s">
        <v>2600</v>
      </c>
    </row>
    <row r="2069" spans="1:1" x14ac:dyDescent="0.3">
      <c r="A2069" s="182" t="s">
        <v>2601</v>
      </c>
    </row>
    <row r="2070" spans="1:1" x14ac:dyDescent="0.3">
      <c r="A2070" s="182" t="s">
        <v>2602</v>
      </c>
    </row>
    <row r="2071" spans="1:1" x14ac:dyDescent="0.3">
      <c r="A2071" s="182" t="s">
        <v>2603</v>
      </c>
    </row>
    <row r="2072" spans="1:1" x14ac:dyDescent="0.3">
      <c r="A2072" s="182" t="s">
        <v>2604</v>
      </c>
    </row>
    <row r="2073" spans="1:1" x14ac:dyDescent="0.3">
      <c r="A2073" s="182" t="s">
        <v>2605</v>
      </c>
    </row>
    <row r="2074" spans="1:1" x14ac:dyDescent="0.3">
      <c r="A2074" s="182" t="s">
        <v>2606</v>
      </c>
    </row>
    <row r="2075" spans="1:1" x14ac:dyDescent="0.3">
      <c r="A2075" s="182" t="s">
        <v>2607</v>
      </c>
    </row>
    <row r="2076" spans="1:1" x14ac:dyDescent="0.3">
      <c r="A2076" s="182" t="s">
        <v>2608</v>
      </c>
    </row>
    <row r="2077" spans="1:1" x14ac:dyDescent="0.3">
      <c r="A2077" s="182" t="s">
        <v>2609</v>
      </c>
    </row>
    <row r="2078" spans="1:1" x14ac:dyDescent="0.3">
      <c r="A2078" s="182" t="s">
        <v>2610</v>
      </c>
    </row>
    <row r="2079" spans="1:1" x14ac:dyDescent="0.3">
      <c r="A2079" s="182" t="s">
        <v>2611</v>
      </c>
    </row>
    <row r="2080" spans="1:1" x14ac:dyDescent="0.3">
      <c r="A2080" s="182" t="s">
        <v>2612</v>
      </c>
    </row>
    <row r="2081" spans="1:1" x14ac:dyDescent="0.3">
      <c r="A2081" s="182" t="s">
        <v>2613</v>
      </c>
    </row>
    <row r="2082" spans="1:1" x14ac:dyDescent="0.3">
      <c r="A2082" s="182" t="s">
        <v>2614</v>
      </c>
    </row>
    <row r="2083" spans="1:1" x14ac:dyDescent="0.3">
      <c r="A2083" s="182" t="s">
        <v>2615</v>
      </c>
    </row>
    <row r="2084" spans="1:1" x14ac:dyDescent="0.3">
      <c r="A2084" s="182" t="s">
        <v>2616</v>
      </c>
    </row>
    <row r="2085" spans="1:1" x14ac:dyDescent="0.3">
      <c r="A2085" s="182" t="s">
        <v>2617</v>
      </c>
    </row>
    <row r="2086" spans="1:1" x14ac:dyDescent="0.3">
      <c r="A2086" s="182" t="s">
        <v>2618</v>
      </c>
    </row>
    <row r="2087" spans="1:1" x14ac:dyDescent="0.3">
      <c r="A2087" s="182" t="s">
        <v>2619</v>
      </c>
    </row>
    <row r="2088" spans="1:1" x14ac:dyDescent="0.3">
      <c r="A2088" s="182" t="s">
        <v>2620</v>
      </c>
    </row>
    <row r="2089" spans="1:1" x14ac:dyDescent="0.3">
      <c r="A2089" s="182" t="s">
        <v>2621</v>
      </c>
    </row>
    <row r="2090" spans="1:1" x14ac:dyDescent="0.3">
      <c r="A2090" s="182" t="s">
        <v>2622</v>
      </c>
    </row>
    <row r="2091" spans="1:1" x14ac:dyDescent="0.3">
      <c r="A2091" s="182" t="s">
        <v>2623</v>
      </c>
    </row>
    <row r="2092" spans="1:1" x14ac:dyDescent="0.3">
      <c r="A2092" s="182" t="s">
        <v>2624</v>
      </c>
    </row>
    <row r="2093" spans="1:1" x14ac:dyDescent="0.3">
      <c r="A2093" s="182" t="s">
        <v>2625</v>
      </c>
    </row>
    <row r="2094" spans="1:1" x14ac:dyDescent="0.3">
      <c r="A2094" s="182" t="s">
        <v>2626</v>
      </c>
    </row>
    <row r="2095" spans="1:1" x14ac:dyDescent="0.3">
      <c r="A2095" s="182" t="s">
        <v>2627</v>
      </c>
    </row>
    <row r="2096" spans="1:1" x14ac:dyDescent="0.3">
      <c r="A2096" s="182" t="s">
        <v>2628</v>
      </c>
    </row>
    <row r="2097" spans="1:1" x14ac:dyDescent="0.3">
      <c r="A2097" s="182" t="s">
        <v>2629</v>
      </c>
    </row>
    <row r="2098" spans="1:1" x14ac:dyDescent="0.3">
      <c r="A2098" s="182" t="s">
        <v>2630</v>
      </c>
    </row>
    <row r="2099" spans="1:1" x14ac:dyDescent="0.3">
      <c r="A2099" s="182" t="s">
        <v>2631</v>
      </c>
    </row>
    <row r="2100" spans="1:1" x14ac:dyDescent="0.3">
      <c r="A2100" s="182" t="s">
        <v>2632</v>
      </c>
    </row>
    <row r="2101" spans="1:1" x14ac:dyDescent="0.3">
      <c r="A2101" s="182" t="s">
        <v>2633</v>
      </c>
    </row>
    <row r="2102" spans="1:1" x14ac:dyDescent="0.3">
      <c r="A2102" s="182" t="s">
        <v>2634</v>
      </c>
    </row>
    <row r="2103" spans="1:1" x14ac:dyDescent="0.3">
      <c r="A2103" s="182" t="s">
        <v>2635</v>
      </c>
    </row>
    <row r="2104" spans="1:1" x14ac:dyDescent="0.3">
      <c r="A2104" s="182" t="s">
        <v>2636</v>
      </c>
    </row>
    <row r="2105" spans="1:1" x14ac:dyDescent="0.3">
      <c r="A2105" s="182" t="s">
        <v>2637</v>
      </c>
    </row>
    <row r="2106" spans="1:1" x14ac:dyDescent="0.3">
      <c r="A2106" s="182" t="s">
        <v>2638</v>
      </c>
    </row>
    <row r="2107" spans="1:1" x14ac:dyDescent="0.3">
      <c r="A2107" s="182" t="s">
        <v>2639</v>
      </c>
    </row>
    <row r="2108" spans="1:1" x14ac:dyDescent="0.3">
      <c r="A2108" s="182" t="s">
        <v>2640</v>
      </c>
    </row>
    <row r="2109" spans="1:1" x14ac:dyDescent="0.3">
      <c r="A2109" s="182" t="s">
        <v>2641</v>
      </c>
    </row>
    <row r="2110" spans="1:1" x14ac:dyDescent="0.3">
      <c r="A2110" s="182" t="s">
        <v>2642</v>
      </c>
    </row>
    <row r="2111" spans="1:1" x14ac:dyDescent="0.3">
      <c r="A2111" s="182" t="s">
        <v>2643</v>
      </c>
    </row>
    <row r="2112" spans="1:1" x14ac:dyDescent="0.3">
      <c r="A2112" s="182" t="s">
        <v>2644</v>
      </c>
    </row>
    <row r="2113" spans="1:1" x14ac:dyDescent="0.3">
      <c r="A2113" s="182" t="s">
        <v>2645</v>
      </c>
    </row>
    <row r="2114" spans="1:1" x14ac:dyDescent="0.3">
      <c r="A2114" s="182" t="s">
        <v>2646</v>
      </c>
    </row>
    <row r="2115" spans="1:1" x14ac:dyDescent="0.3">
      <c r="A2115" s="182" t="s">
        <v>2647</v>
      </c>
    </row>
    <row r="2116" spans="1:1" x14ac:dyDescent="0.3">
      <c r="A2116" s="182" t="s">
        <v>2648</v>
      </c>
    </row>
    <row r="2117" spans="1:1" x14ac:dyDescent="0.3">
      <c r="A2117" s="182" t="s">
        <v>2649</v>
      </c>
    </row>
    <row r="2118" spans="1:1" x14ac:dyDescent="0.3">
      <c r="A2118" s="182" t="s">
        <v>2650</v>
      </c>
    </row>
    <row r="2119" spans="1:1" x14ac:dyDescent="0.3">
      <c r="A2119" s="182" t="s">
        <v>2651</v>
      </c>
    </row>
    <row r="2120" spans="1:1" x14ac:dyDescent="0.3">
      <c r="A2120" s="182" t="s">
        <v>2652</v>
      </c>
    </row>
    <row r="2121" spans="1:1" x14ac:dyDescent="0.3">
      <c r="A2121" s="182" t="s">
        <v>2653</v>
      </c>
    </row>
    <row r="2122" spans="1:1" x14ac:dyDescent="0.3">
      <c r="A2122" s="182" t="s">
        <v>2654</v>
      </c>
    </row>
    <row r="2123" spans="1:1" x14ac:dyDescent="0.3">
      <c r="A2123" s="182" t="s">
        <v>2655</v>
      </c>
    </row>
    <row r="2124" spans="1:1" x14ac:dyDescent="0.3">
      <c r="A2124" s="182" t="s">
        <v>2656</v>
      </c>
    </row>
    <row r="2125" spans="1:1" x14ac:dyDescent="0.3">
      <c r="A2125" s="182" t="s">
        <v>2657</v>
      </c>
    </row>
    <row r="2126" spans="1:1" x14ac:dyDescent="0.3">
      <c r="A2126" s="182" t="s">
        <v>2658</v>
      </c>
    </row>
    <row r="2127" spans="1:1" x14ac:dyDescent="0.3">
      <c r="A2127" s="182" t="s">
        <v>2659</v>
      </c>
    </row>
    <row r="2128" spans="1:1" x14ac:dyDescent="0.3">
      <c r="A2128" s="182" t="s">
        <v>2660</v>
      </c>
    </row>
    <row r="2129" spans="1:1" x14ac:dyDescent="0.3">
      <c r="A2129" s="182" t="s">
        <v>2661</v>
      </c>
    </row>
    <row r="2130" spans="1:1" x14ac:dyDescent="0.3">
      <c r="A2130" s="182" t="s">
        <v>2662</v>
      </c>
    </row>
    <row r="2131" spans="1:1" x14ac:dyDescent="0.3">
      <c r="A2131" s="182" t="s">
        <v>2663</v>
      </c>
    </row>
    <row r="2132" spans="1:1" x14ac:dyDescent="0.3">
      <c r="A2132" s="182" t="s">
        <v>2664</v>
      </c>
    </row>
    <row r="2133" spans="1:1" x14ac:dyDescent="0.3">
      <c r="A2133" s="182" t="s">
        <v>2665</v>
      </c>
    </row>
    <row r="2134" spans="1:1" x14ac:dyDescent="0.3">
      <c r="A2134" s="182" t="s">
        <v>2666</v>
      </c>
    </row>
    <row r="2135" spans="1:1" x14ac:dyDescent="0.3">
      <c r="A2135" s="182" t="s">
        <v>2667</v>
      </c>
    </row>
    <row r="2136" spans="1:1" x14ac:dyDescent="0.3">
      <c r="A2136" s="182" t="s">
        <v>2668</v>
      </c>
    </row>
    <row r="2137" spans="1:1" x14ac:dyDescent="0.3">
      <c r="A2137" s="182" t="s">
        <v>2669</v>
      </c>
    </row>
    <row r="2138" spans="1:1" x14ac:dyDescent="0.3">
      <c r="A2138" s="182" t="s">
        <v>2670</v>
      </c>
    </row>
    <row r="2139" spans="1:1" x14ac:dyDescent="0.3">
      <c r="A2139" s="182" t="s">
        <v>2671</v>
      </c>
    </row>
    <row r="2140" spans="1:1" x14ac:dyDescent="0.3">
      <c r="A2140" s="182" t="s">
        <v>2672</v>
      </c>
    </row>
    <row r="2141" spans="1:1" x14ac:dyDescent="0.3">
      <c r="A2141" s="182" t="s">
        <v>2673</v>
      </c>
    </row>
    <row r="2142" spans="1:1" x14ac:dyDescent="0.3">
      <c r="A2142" s="182" t="s">
        <v>2674</v>
      </c>
    </row>
    <row r="2143" spans="1:1" x14ac:dyDescent="0.3">
      <c r="A2143" s="182" t="s">
        <v>2675</v>
      </c>
    </row>
    <row r="2144" spans="1:1" x14ac:dyDescent="0.3">
      <c r="A2144" s="182" t="s">
        <v>2676</v>
      </c>
    </row>
    <row r="2145" spans="1:1" x14ac:dyDescent="0.3">
      <c r="A2145" s="182" t="s">
        <v>2677</v>
      </c>
    </row>
    <row r="2146" spans="1:1" x14ac:dyDescent="0.3">
      <c r="A2146" s="182" t="s">
        <v>2678</v>
      </c>
    </row>
    <row r="2147" spans="1:1" x14ac:dyDescent="0.3">
      <c r="A2147" s="182" t="s">
        <v>2679</v>
      </c>
    </row>
    <row r="2148" spans="1:1" x14ac:dyDescent="0.3">
      <c r="A2148" s="182" t="s">
        <v>2680</v>
      </c>
    </row>
    <row r="2149" spans="1:1" x14ac:dyDescent="0.3">
      <c r="A2149" s="182" t="s">
        <v>2681</v>
      </c>
    </row>
    <row r="2150" spans="1:1" x14ac:dyDescent="0.3">
      <c r="A2150" s="182" t="s">
        <v>2682</v>
      </c>
    </row>
    <row r="2151" spans="1:1" x14ac:dyDescent="0.3">
      <c r="A2151" s="182" t="s">
        <v>2683</v>
      </c>
    </row>
    <row r="2152" spans="1:1" x14ac:dyDescent="0.3">
      <c r="A2152" s="182" t="s">
        <v>2684</v>
      </c>
    </row>
    <row r="2153" spans="1:1" x14ac:dyDescent="0.3">
      <c r="A2153" s="182" t="s">
        <v>2685</v>
      </c>
    </row>
    <row r="2154" spans="1:1" x14ac:dyDescent="0.3">
      <c r="A2154" s="182" t="s">
        <v>2686</v>
      </c>
    </row>
    <row r="2155" spans="1:1" x14ac:dyDescent="0.3">
      <c r="A2155" s="182" t="s">
        <v>2687</v>
      </c>
    </row>
    <row r="2156" spans="1:1" x14ac:dyDescent="0.3">
      <c r="A2156" s="182" t="s">
        <v>2688</v>
      </c>
    </row>
    <row r="2157" spans="1:1" x14ac:dyDescent="0.3">
      <c r="A2157" s="182" t="s">
        <v>2689</v>
      </c>
    </row>
    <row r="2158" spans="1:1" x14ac:dyDescent="0.3">
      <c r="A2158" s="182" t="s">
        <v>2690</v>
      </c>
    </row>
    <row r="2159" spans="1:1" x14ac:dyDescent="0.3">
      <c r="A2159" s="182" t="s">
        <v>2691</v>
      </c>
    </row>
    <row r="2160" spans="1:1" x14ac:dyDescent="0.3">
      <c r="A2160" s="182" t="s">
        <v>2692</v>
      </c>
    </row>
    <row r="2161" spans="1:1" x14ac:dyDescent="0.3">
      <c r="A2161" s="182" t="s">
        <v>2693</v>
      </c>
    </row>
    <row r="2162" spans="1:1" x14ac:dyDescent="0.3">
      <c r="A2162" s="182" t="s">
        <v>2694</v>
      </c>
    </row>
    <row r="2163" spans="1:1" x14ac:dyDescent="0.3">
      <c r="A2163" s="182" t="s">
        <v>2695</v>
      </c>
    </row>
    <row r="2164" spans="1:1" x14ac:dyDescent="0.3">
      <c r="A2164" s="182" t="s">
        <v>2696</v>
      </c>
    </row>
    <row r="2165" spans="1:1" x14ac:dyDescent="0.3">
      <c r="A2165" s="182" t="s">
        <v>2697</v>
      </c>
    </row>
    <row r="2166" spans="1:1" x14ac:dyDescent="0.3">
      <c r="A2166" s="182" t="s">
        <v>2698</v>
      </c>
    </row>
    <row r="2167" spans="1:1" x14ac:dyDescent="0.3">
      <c r="A2167" s="182" t="s">
        <v>2699</v>
      </c>
    </row>
    <row r="2168" spans="1:1" x14ac:dyDescent="0.3">
      <c r="A2168" s="182" t="s">
        <v>2700</v>
      </c>
    </row>
    <row r="2169" spans="1:1" x14ac:dyDescent="0.3">
      <c r="A2169" s="182" t="s">
        <v>2701</v>
      </c>
    </row>
    <row r="2170" spans="1:1" x14ac:dyDescent="0.3">
      <c r="A2170" s="182" t="s">
        <v>2702</v>
      </c>
    </row>
    <row r="2171" spans="1:1" x14ac:dyDescent="0.3">
      <c r="A2171" s="182" t="s">
        <v>2703</v>
      </c>
    </row>
    <row r="2172" spans="1:1" x14ac:dyDescent="0.3">
      <c r="A2172" s="182" t="s">
        <v>2704</v>
      </c>
    </row>
    <row r="2173" spans="1:1" x14ac:dyDescent="0.3">
      <c r="A2173" s="182" t="s">
        <v>2705</v>
      </c>
    </row>
    <row r="2174" spans="1:1" x14ac:dyDescent="0.3">
      <c r="A2174" s="182" t="s">
        <v>2706</v>
      </c>
    </row>
    <row r="2175" spans="1:1" x14ac:dyDescent="0.3">
      <c r="A2175" s="182" t="s">
        <v>2707</v>
      </c>
    </row>
    <row r="2176" spans="1:1" x14ac:dyDescent="0.3">
      <c r="A2176" s="182" t="s">
        <v>2708</v>
      </c>
    </row>
    <row r="2177" spans="1:1" x14ac:dyDescent="0.3">
      <c r="A2177" s="182" t="s">
        <v>2709</v>
      </c>
    </row>
    <row r="2178" spans="1:1" x14ac:dyDescent="0.3">
      <c r="A2178" s="182" t="s">
        <v>2710</v>
      </c>
    </row>
    <row r="2179" spans="1:1" x14ac:dyDescent="0.3">
      <c r="A2179" s="182" t="s">
        <v>2711</v>
      </c>
    </row>
    <row r="2180" spans="1:1" x14ac:dyDescent="0.3">
      <c r="A2180" s="182" t="s">
        <v>2712</v>
      </c>
    </row>
    <row r="2181" spans="1:1" x14ac:dyDescent="0.3">
      <c r="A2181" s="182" t="s">
        <v>2713</v>
      </c>
    </row>
    <row r="2182" spans="1:1" x14ac:dyDescent="0.3">
      <c r="A2182" s="182" t="s">
        <v>2714</v>
      </c>
    </row>
    <row r="2183" spans="1:1" x14ac:dyDescent="0.3">
      <c r="A2183" s="182" t="s">
        <v>2715</v>
      </c>
    </row>
    <row r="2184" spans="1:1" x14ac:dyDescent="0.3">
      <c r="A2184" s="182" t="s">
        <v>2716</v>
      </c>
    </row>
    <row r="2185" spans="1:1" x14ac:dyDescent="0.3">
      <c r="A2185" s="182" t="s">
        <v>2717</v>
      </c>
    </row>
    <row r="2186" spans="1:1" x14ac:dyDescent="0.3">
      <c r="A2186" s="182" t="s">
        <v>2718</v>
      </c>
    </row>
    <row r="2187" spans="1:1" x14ac:dyDescent="0.3">
      <c r="A2187" s="182" t="s">
        <v>2719</v>
      </c>
    </row>
    <row r="2188" spans="1:1" x14ac:dyDescent="0.3">
      <c r="A2188" s="182" t="s">
        <v>2720</v>
      </c>
    </row>
    <row r="2189" spans="1:1" x14ac:dyDescent="0.3">
      <c r="A2189" s="182" t="s">
        <v>2721</v>
      </c>
    </row>
    <row r="2190" spans="1:1" x14ac:dyDescent="0.3">
      <c r="A2190" s="182" t="s">
        <v>2722</v>
      </c>
    </row>
    <row r="2191" spans="1:1" x14ac:dyDescent="0.3">
      <c r="A2191" s="182" t="s">
        <v>2723</v>
      </c>
    </row>
    <row r="2192" spans="1:1" x14ac:dyDescent="0.3">
      <c r="A2192" s="182" t="s">
        <v>2724</v>
      </c>
    </row>
    <row r="2193" spans="1:1" x14ac:dyDescent="0.3">
      <c r="A2193" s="182" t="s">
        <v>2725</v>
      </c>
    </row>
    <row r="2194" spans="1:1" x14ac:dyDescent="0.3">
      <c r="A2194" s="182" t="s">
        <v>2726</v>
      </c>
    </row>
    <row r="2195" spans="1:1" x14ac:dyDescent="0.3">
      <c r="A2195" s="182" t="s">
        <v>2727</v>
      </c>
    </row>
    <row r="2196" spans="1:1" x14ac:dyDescent="0.3">
      <c r="A2196" s="182" t="s">
        <v>2728</v>
      </c>
    </row>
    <row r="2197" spans="1:1" x14ac:dyDescent="0.3">
      <c r="A2197" s="182" t="s">
        <v>2729</v>
      </c>
    </row>
    <row r="2198" spans="1:1" x14ac:dyDescent="0.3">
      <c r="A2198" s="182" t="s">
        <v>2730</v>
      </c>
    </row>
    <row r="2199" spans="1:1" x14ac:dyDescent="0.3">
      <c r="A2199" s="182" t="s">
        <v>2731</v>
      </c>
    </row>
    <row r="2200" spans="1:1" x14ac:dyDescent="0.3">
      <c r="A2200" s="182" t="s">
        <v>2732</v>
      </c>
    </row>
    <row r="2201" spans="1:1" x14ac:dyDescent="0.3">
      <c r="A2201" s="182" t="s">
        <v>2733</v>
      </c>
    </row>
    <row r="2202" spans="1:1" x14ac:dyDescent="0.3">
      <c r="A2202" s="182" t="s">
        <v>2734</v>
      </c>
    </row>
    <row r="2203" spans="1:1" x14ac:dyDescent="0.3">
      <c r="A2203" s="182" t="s">
        <v>2735</v>
      </c>
    </row>
    <row r="2204" spans="1:1" x14ac:dyDescent="0.3">
      <c r="A2204" s="182" t="s">
        <v>2736</v>
      </c>
    </row>
    <row r="2205" spans="1:1" x14ac:dyDescent="0.3">
      <c r="A2205" s="182" t="s">
        <v>2737</v>
      </c>
    </row>
    <row r="2206" spans="1:1" x14ac:dyDescent="0.3">
      <c r="A2206" s="182" t="s">
        <v>2738</v>
      </c>
    </row>
    <row r="2207" spans="1:1" x14ac:dyDescent="0.3">
      <c r="A2207" s="182" t="s">
        <v>2739</v>
      </c>
    </row>
    <row r="2208" spans="1:1" x14ac:dyDescent="0.3">
      <c r="A2208" s="182" t="s">
        <v>2740</v>
      </c>
    </row>
    <row r="2209" spans="1:1" x14ac:dyDescent="0.3">
      <c r="A2209" s="182" t="s">
        <v>2741</v>
      </c>
    </row>
    <row r="2210" spans="1:1" x14ac:dyDescent="0.3">
      <c r="A2210" s="182" t="s">
        <v>2742</v>
      </c>
    </row>
    <row r="2211" spans="1:1" x14ac:dyDescent="0.3">
      <c r="A2211" s="182" t="s">
        <v>2743</v>
      </c>
    </row>
    <row r="2212" spans="1:1" x14ac:dyDescent="0.3">
      <c r="A2212" s="182" t="s">
        <v>2744</v>
      </c>
    </row>
    <row r="2213" spans="1:1" x14ac:dyDescent="0.3">
      <c r="A2213" s="182" t="s">
        <v>2745</v>
      </c>
    </row>
    <row r="2214" spans="1:1" x14ac:dyDescent="0.3">
      <c r="A2214" s="182" t="s">
        <v>2746</v>
      </c>
    </row>
    <row r="2215" spans="1:1" x14ac:dyDescent="0.3">
      <c r="A2215" s="182" t="s">
        <v>2747</v>
      </c>
    </row>
    <row r="2216" spans="1:1" x14ac:dyDescent="0.3">
      <c r="A2216" s="182" t="s">
        <v>2748</v>
      </c>
    </row>
    <row r="2217" spans="1:1" x14ac:dyDescent="0.3">
      <c r="A2217" s="182" t="s">
        <v>2749</v>
      </c>
    </row>
    <row r="2218" spans="1:1" x14ac:dyDescent="0.3">
      <c r="A2218" s="182" t="s">
        <v>2750</v>
      </c>
    </row>
    <row r="2219" spans="1:1" x14ac:dyDescent="0.3">
      <c r="A2219" s="182" t="s">
        <v>2751</v>
      </c>
    </row>
    <row r="2220" spans="1:1" x14ac:dyDescent="0.3">
      <c r="A2220" s="182" t="s">
        <v>2752</v>
      </c>
    </row>
    <row r="2221" spans="1:1" x14ac:dyDescent="0.3">
      <c r="A2221" s="182" t="s">
        <v>2753</v>
      </c>
    </row>
    <row r="2222" spans="1:1" x14ac:dyDescent="0.3">
      <c r="A2222" s="182" t="s">
        <v>2754</v>
      </c>
    </row>
    <row r="2223" spans="1:1" x14ac:dyDescent="0.3">
      <c r="A2223" s="182" t="s">
        <v>2755</v>
      </c>
    </row>
    <row r="2224" spans="1:1" x14ac:dyDescent="0.3">
      <c r="A2224" s="182" t="s">
        <v>2756</v>
      </c>
    </row>
    <row r="2225" spans="1:1" x14ac:dyDescent="0.3">
      <c r="A2225" s="182" t="s">
        <v>2757</v>
      </c>
    </row>
    <row r="2226" spans="1:1" x14ac:dyDescent="0.3">
      <c r="A2226" s="182" t="s">
        <v>2758</v>
      </c>
    </row>
    <row r="2227" spans="1:1" x14ac:dyDescent="0.3">
      <c r="A2227" s="182" t="s">
        <v>2759</v>
      </c>
    </row>
    <row r="2228" spans="1:1" x14ac:dyDescent="0.3">
      <c r="A2228" s="182" t="s">
        <v>2760</v>
      </c>
    </row>
    <row r="2229" spans="1:1" x14ac:dyDescent="0.3">
      <c r="A2229" s="182" t="s">
        <v>2761</v>
      </c>
    </row>
    <row r="2230" spans="1:1" x14ac:dyDescent="0.3">
      <c r="A2230" s="182" t="s">
        <v>2762</v>
      </c>
    </row>
    <row r="2231" spans="1:1" x14ac:dyDescent="0.3">
      <c r="A2231" s="182" t="s">
        <v>2763</v>
      </c>
    </row>
    <row r="2232" spans="1:1" x14ac:dyDescent="0.3">
      <c r="A2232" s="182" t="s">
        <v>2764</v>
      </c>
    </row>
    <row r="2233" spans="1:1" x14ac:dyDescent="0.3">
      <c r="A2233" s="182" t="s">
        <v>2765</v>
      </c>
    </row>
    <row r="2234" spans="1:1" x14ac:dyDescent="0.3">
      <c r="A2234" s="182" t="s">
        <v>2766</v>
      </c>
    </row>
    <row r="2235" spans="1:1" x14ac:dyDescent="0.3">
      <c r="A2235" s="182" t="s">
        <v>2767</v>
      </c>
    </row>
    <row r="2236" spans="1:1" x14ac:dyDescent="0.3">
      <c r="A2236" s="182" t="s">
        <v>2768</v>
      </c>
    </row>
    <row r="2237" spans="1:1" x14ac:dyDescent="0.3">
      <c r="A2237" s="182" t="s">
        <v>2769</v>
      </c>
    </row>
    <row r="2238" spans="1:1" x14ac:dyDescent="0.3">
      <c r="A2238" s="182" t="s">
        <v>2770</v>
      </c>
    </row>
    <row r="2239" spans="1:1" x14ac:dyDescent="0.3">
      <c r="A2239" s="182" t="s">
        <v>2771</v>
      </c>
    </row>
    <row r="2240" spans="1:1" x14ac:dyDescent="0.3">
      <c r="A2240" s="182" t="s">
        <v>2772</v>
      </c>
    </row>
    <row r="2241" spans="1:1" x14ac:dyDescent="0.3">
      <c r="A2241" s="182" t="s">
        <v>2773</v>
      </c>
    </row>
    <row r="2242" spans="1:1" x14ac:dyDescent="0.3">
      <c r="A2242" s="182" t="s">
        <v>2774</v>
      </c>
    </row>
    <row r="2243" spans="1:1" x14ac:dyDescent="0.3">
      <c r="A2243" s="182" t="s">
        <v>2775</v>
      </c>
    </row>
    <row r="2244" spans="1:1" x14ac:dyDescent="0.3">
      <c r="A2244" s="182" t="s">
        <v>2776</v>
      </c>
    </row>
    <row r="2245" spans="1:1" x14ac:dyDescent="0.3">
      <c r="A2245" s="182" t="s">
        <v>2777</v>
      </c>
    </row>
    <row r="2246" spans="1:1" x14ac:dyDescent="0.3">
      <c r="A2246" s="182" t="s">
        <v>2778</v>
      </c>
    </row>
    <row r="2247" spans="1:1" x14ac:dyDescent="0.3">
      <c r="A2247" s="182" t="s">
        <v>2779</v>
      </c>
    </row>
    <row r="2248" spans="1:1" x14ac:dyDescent="0.3">
      <c r="A2248" s="182" t="s">
        <v>2780</v>
      </c>
    </row>
    <row r="2249" spans="1:1" x14ac:dyDescent="0.3">
      <c r="A2249" s="182" t="s">
        <v>2781</v>
      </c>
    </row>
    <row r="2250" spans="1:1" x14ac:dyDescent="0.3">
      <c r="A2250" s="182" t="s">
        <v>2782</v>
      </c>
    </row>
    <row r="2251" spans="1:1" x14ac:dyDescent="0.3">
      <c r="A2251" s="182" t="s">
        <v>2783</v>
      </c>
    </row>
    <row r="2252" spans="1:1" x14ac:dyDescent="0.3">
      <c r="A2252" s="182" t="s">
        <v>2784</v>
      </c>
    </row>
    <row r="2253" spans="1:1" x14ac:dyDescent="0.3">
      <c r="A2253" s="182" t="s">
        <v>2785</v>
      </c>
    </row>
    <row r="2254" spans="1:1" x14ac:dyDescent="0.3">
      <c r="A2254" s="182" t="s">
        <v>2786</v>
      </c>
    </row>
    <row r="2255" spans="1:1" x14ac:dyDescent="0.3">
      <c r="A2255" s="182" t="s">
        <v>2787</v>
      </c>
    </row>
    <row r="2256" spans="1:1" x14ac:dyDescent="0.3">
      <c r="A2256" s="182" t="s">
        <v>2788</v>
      </c>
    </row>
    <row r="2257" spans="1:1" x14ac:dyDescent="0.3">
      <c r="A2257" s="182" t="s">
        <v>2789</v>
      </c>
    </row>
    <row r="2258" spans="1:1" x14ac:dyDescent="0.3">
      <c r="A2258" s="182" t="s">
        <v>2790</v>
      </c>
    </row>
    <row r="2259" spans="1:1" x14ac:dyDescent="0.3">
      <c r="A2259" s="182" t="s">
        <v>2791</v>
      </c>
    </row>
    <row r="2260" spans="1:1" x14ac:dyDescent="0.3">
      <c r="A2260" s="182" t="s">
        <v>2792</v>
      </c>
    </row>
    <row r="2261" spans="1:1" x14ac:dyDescent="0.3">
      <c r="A2261" s="182" t="s">
        <v>2793</v>
      </c>
    </row>
    <row r="2262" spans="1:1" x14ac:dyDescent="0.3">
      <c r="A2262" s="182" t="s">
        <v>2794</v>
      </c>
    </row>
    <row r="2263" spans="1:1" x14ac:dyDescent="0.3">
      <c r="A2263" s="182" t="s">
        <v>2795</v>
      </c>
    </row>
    <row r="2264" spans="1:1" x14ac:dyDescent="0.3">
      <c r="A2264" s="182" t="s">
        <v>2796</v>
      </c>
    </row>
    <row r="2265" spans="1:1" x14ac:dyDescent="0.3">
      <c r="A2265" s="182" t="s">
        <v>2797</v>
      </c>
    </row>
    <row r="2266" spans="1:1" x14ac:dyDescent="0.3">
      <c r="A2266" s="182" t="s">
        <v>2798</v>
      </c>
    </row>
    <row r="2267" spans="1:1" x14ac:dyDescent="0.3">
      <c r="A2267" s="182" t="s">
        <v>2799</v>
      </c>
    </row>
    <row r="2268" spans="1:1" x14ac:dyDescent="0.3">
      <c r="A2268" s="182" t="s">
        <v>2800</v>
      </c>
    </row>
  </sheetData>
  <sheetProtection algorithmName="SHA-512" hashValue="7kR8vnq0fUgMAGgUPe303AGZzXkS3NBpu0ibyt+fyrlvYnKs07wA4dFSrLDJ8Jp7C0Yvzdlp/W1fQigWUYbdEQ==" saltValue="bLFJgUaSgOWd9JhcuIy1CA==" spinCount="100000" sheet="1" objects="1" scenarios="1"/>
  <pageMargins left="0.7" right="0.7" top="0.75" bottom="0.75" header="0.3" footer="0.3"/>
  <pageSetup paperSize="9" orientation="portrait"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Cover Sheet</vt:lpstr>
      <vt:lpstr>Instructions</vt:lpstr>
      <vt:lpstr>Appraisal Instrument (A1) </vt:lpstr>
      <vt:lpstr>Less Ob Instr (E2)</vt:lpstr>
      <vt:lpstr>Composite Score Sheet (A2)</vt:lpstr>
      <vt:lpstr>Checklist</vt:lpstr>
      <vt:lpstr>LISTS</vt:lpstr>
      <vt:lpstr>TN</vt:lpstr>
      <vt:lpstr>'Appraisal Instrument (A1) '!Print_Area</vt:lpstr>
      <vt:lpstr>Checklist!Print_Area</vt:lpstr>
      <vt:lpstr>'Composite Score Sheet (A2)'!Print_Area</vt:lpstr>
      <vt:lpstr>'Cover Sheet'!Print_Area</vt:lpstr>
      <vt:lpstr>Instructions!Print_Area</vt:lpstr>
      <vt:lpstr>'Less Ob Instr (E2)'!Print_Area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Ronaldo Jean-Louis</dc:creator>
  <cp:keywords/>
  <dc:description/>
  <cp:lastModifiedBy>Charmaine Africa</cp:lastModifiedBy>
  <cp:revision/>
  <dcterms:created xsi:type="dcterms:W3CDTF">2015-04-15T13:39:20Z</dcterms:created>
  <dcterms:modified xsi:type="dcterms:W3CDTF">2026-05-27T07:39:43Z</dcterms:modified>
  <cp:category/>
  <cp:contentStatus/>
</cp:coreProperties>
</file>